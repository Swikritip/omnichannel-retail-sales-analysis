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ikritipokhrel/Downloads/"/>
    </mc:Choice>
  </mc:AlternateContent>
  <xr:revisionPtr revIDLastSave="0" documentId="8_{48407BE2-24B5-924C-A10D-C5C54638C1A2}" xr6:coauthVersionLast="47" xr6:coauthVersionMax="47" xr10:uidLastSave="{00000000-0000-0000-0000-000000000000}"/>
  <bookViews>
    <workbookView xWindow="13720" yWindow="2200" windowWidth="21000" windowHeight="17440" activeTab="1" xr2:uid="{257FF835-9615-DE4E-AFD3-9B2E8DB1085A}"/>
  </bookViews>
  <sheets>
    <sheet name="Sheet1" sheetId="2" r:id="rId1"/>
    <sheet name="Omnichannel_Retail_Sales_Analys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3" i="1"/>
  <c r="H4" i="1"/>
  <c r="H5" i="1"/>
  <c r="H6" i="1"/>
  <c r="H7" i="1"/>
  <c r="H8" i="1"/>
  <c r="J2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</calcChain>
</file>

<file path=xl/sharedStrings.xml><?xml version="1.0" encoding="utf-8"?>
<sst xmlns="http://schemas.openxmlformats.org/spreadsheetml/2006/main" count="320" uniqueCount="28">
  <si>
    <t>year</t>
  </si>
  <si>
    <t>channel</t>
  </si>
  <si>
    <t>category</t>
  </si>
  <si>
    <t>units_sold</t>
  </si>
  <si>
    <t>total_revenue</t>
  </si>
  <si>
    <t>total_profit</t>
  </si>
  <si>
    <t>profit_margin_percent</t>
  </si>
  <si>
    <t>Catalog</t>
  </si>
  <si>
    <t>Books</t>
  </si>
  <si>
    <t>Children</t>
  </si>
  <si>
    <t>Electronics</t>
  </si>
  <si>
    <t>Home</t>
  </si>
  <si>
    <t>Jewelry</t>
  </si>
  <si>
    <t>Men</t>
  </si>
  <si>
    <t>Music</t>
  </si>
  <si>
    <t>Shoes</t>
  </si>
  <si>
    <t>Sports</t>
  </si>
  <si>
    <t>Women</t>
  </si>
  <si>
    <t>Store</t>
  </si>
  <si>
    <t>Web</t>
  </si>
  <si>
    <t>Row Labels</t>
  </si>
  <si>
    <t>Grand Total</t>
  </si>
  <si>
    <t>Column Labels</t>
  </si>
  <si>
    <t>Sum of total_revenue</t>
  </si>
  <si>
    <t>Category Lookup</t>
  </si>
  <si>
    <t>2002 Store Revenue</t>
  </si>
  <si>
    <t>Lookup key</t>
  </si>
  <si>
    <t>Excel Margin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</si>
</sst>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0.00,,,&quot;B&quot;"/>
    <numFmt numFmtId="172" formatCode="&quot;$&quot;0.00,,&quot;M&quot;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72" fontId="18" fillId="0" borderId="0" xfId="1" applyNumberFormat="1" applyFon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kriti Pokhrel" refreshedDate="46292.875689814813" createdVersion="8" refreshedVersion="8" minRefreshableVersion="3" recordCount="150" xr:uid="{FA8ECE85-6577-2744-9F2B-73314086FD85}">
  <cacheSource type="worksheet">
    <worksheetSource ref="A1:G151" sheet="Omnichannel_Retail_Sales_Analys"/>
  </cacheSource>
  <cacheFields count="7">
    <cacheField name="year" numFmtId="0">
      <sharedItems containsSemiMixedTypes="0" containsString="0" containsNumber="1" containsInteger="1" minValue="1998" maxValue="2002" count="5">
        <n v="1998"/>
        <n v="1999"/>
        <n v="2000"/>
        <n v="2001"/>
        <n v="2002"/>
      </sharedItems>
    </cacheField>
    <cacheField name="channel" numFmtId="0">
      <sharedItems count="3">
        <s v="Catalog"/>
        <s v="Store"/>
        <s v="Web"/>
      </sharedItems>
    </cacheField>
    <cacheField name="category" numFmtId="0">
      <sharedItems/>
    </cacheField>
    <cacheField name="units_sold" numFmtId="0">
      <sharedItems containsSemiMixedTypes="0" containsString="0" containsNumber="1" containsInteger="1" minValue="663052" maxValue="2857953"/>
    </cacheField>
    <cacheField name="total_revenue" numFmtId="0">
      <sharedItems containsSemiMixedTypes="0" containsString="0" containsNumber="1" minValue="30076030.73" maxValue="98682598.859999999"/>
    </cacheField>
    <cacheField name="total_profit" numFmtId="0">
      <sharedItems containsSemiMixedTypes="0" containsString="0" containsNumber="1" minValue="-46702360.200000003" maxValue="-2705937.28"/>
    </cacheField>
    <cacheField name="profit_margin_percent" numFmtId="0">
      <sharedItems containsSemiMixedTypes="0" containsString="0" containsNumber="1" minValue="-49.41" maxValue="-8.38000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Books"/>
    <n v="1458078"/>
    <n v="66058065.950000003"/>
    <n v="-7481005.5099999998"/>
    <n v="-11.32"/>
  </r>
  <r>
    <x v="0"/>
    <x v="0"/>
    <s v="Children"/>
    <n v="1433102"/>
    <n v="66306218.270000003"/>
    <n v="-6432444.54"/>
    <n v="-9.6999999999999993"/>
  </r>
  <r>
    <x v="0"/>
    <x v="0"/>
    <s v="Electronics"/>
    <n v="1459857"/>
    <n v="66540681.560000002"/>
    <n v="-7485822.1200000001"/>
    <n v="-11.25"/>
  </r>
  <r>
    <x v="0"/>
    <x v="0"/>
    <s v="Home"/>
    <n v="1458901"/>
    <n v="65960999.289999999"/>
    <n v="-7616665.1699999999"/>
    <n v="-11.55"/>
  </r>
  <r>
    <x v="0"/>
    <x v="0"/>
    <s v="Jewelry"/>
    <n v="1406265"/>
    <n v="64382274.240000002"/>
    <n v="-6813952.5899999999"/>
    <n v="-10.58"/>
  </r>
  <r>
    <x v="0"/>
    <x v="0"/>
    <s v="Men"/>
    <n v="1504295"/>
    <n v="68837745.319999993"/>
    <n v="-7289002.8899999997"/>
    <n v="-10.59"/>
  </r>
  <r>
    <x v="0"/>
    <x v="0"/>
    <s v="Music"/>
    <n v="1413649"/>
    <n v="64779348.590000004"/>
    <n v="-6784846.6200000001"/>
    <n v="-10.47"/>
  </r>
  <r>
    <x v="0"/>
    <x v="0"/>
    <s v="Shoes"/>
    <n v="1489448"/>
    <n v="68458818.769999996"/>
    <n v="-7541807.5300000003"/>
    <n v="-11.02"/>
  </r>
  <r>
    <x v="0"/>
    <x v="0"/>
    <s v="Sports"/>
    <n v="1401543"/>
    <n v="64175040.18"/>
    <n v="-7028974.1699999999"/>
    <n v="-10.95"/>
  </r>
  <r>
    <x v="0"/>
    <x v="0"/>
    <s v="Women"/>
    <n v="1310706"/>
    <n v="59514441.649999999"/>
    <n v="-6521738.0599999996"/>
    <n v="-10.96"/>
  </r>
  <r>
    <x v="0"/>
    <x v="1"/>
    <s v="Books"/>
    <n v="2681355"/>
    <n v="92161797.709999993"/>
    <n v="-44327391.619999997"/>
    <n v="-48.1"/>
  </r>
  <r>
    <x v="0"/>
    <x v="1"/>
    <s v="Children"/>
    <n v="2666689"/>
    <n v="90928186.430000007"/>
    <n v="-44531437.299999997"/>
    <n v="-48.97"/>
  </r>
  <r>
    <x v="0"/>
    <x v="1"/>
    <s v="Electronics"/>
    <n v="2676992"/>
    <n v="91401840.609999999"/>
    <n v="-44146114.579999998"/>
    <n v="-48.3"/>
  </r>
  <r>
    <x v="0"/>
    <x v="1"/>
    <s v="Home"/>
    <n v="2701211"/>
    <n v="92540662.709999993"/>
    <n v="-43894595.829999998"/>
    <n v="-47.43"/>
  </r>
  <r>
    <x v="0"/>
    <x v="1"/>
    <s v="Jewelry"/>
    <n v="2581191"/>
    <n v="87856730.450000003"/>
    <n v="-43268467.659999996"/>
    <n v="-49.25"/>
  </r>
  <r>
    <x v="0"/>
    <x v="1"/>
    <s v="Men"/>
    <n v="2788343"/>
    <n v="95249735.099999994"/>
    <n v="-45810791.450000003"/>
    <n v="-48.1"/>
  </r>
  <r>
    <x v="0"/>
    <x v="1"/>
    <s v="Music"/>
    <n v="2630068"/>
    <n v="89899684.140000001"/>
    <n v="-43476688.579999998"/>
    <n v="-48.36"/>
  </r>
  <r>
    <x v="0"/>
    <x v="1"/>
    <s v="Shoes"/>
    <n v="2749049"/>
    <n v="94284866.140000001"/>
    <n v="-45747396.810000002"/>
    <n v="-48.52"/>
  </r>
  <r>
    <x v="0"/>
    <x v="1"/>
    <s v="Sports"/>
    <n v="2572771"/>
    <n v="88799181"/>
    <n v="-42145051.869999997"/>
    <n v="-47.46"/>
  </r>
  <r>
    <x v="0"/>
    <x v="1"/>
    <s v="Women"/>
    <n v="2426663"/>
    <n v="83565040.810000002"/>
    <n v="-40380861.850000001"/>
    <n v="-48.32"/>
  </r>
  <r>
    <x v="0"/>
    <x v="2"/>
    <s v="Books"/>
    <n v="733025"/>
    <n v="33883760.950000003"/>
    <n v="-3384642.11"/>
    <n v="-9.99"/>
  </r>
  <r>
    <x v="0"/>
    <x v="2"/>
    <s v="Children"/>
    <n v="715508"/>
    <n v="32931097.039999999"/>
    <n v="-3580627.05"/>
    <n v="-10.87"/>
  </r>
  <r>
    <x v="0"/>
    <x v="2"/>
    <s v="Electronics"/>
    <n v="734328"/>
    <n v="33228758.960000001"/>
    <n v="-4211110.66"/>
    <n v="-12.67"/>
  </r>
  <r>
    <x v="0"/>
    <x v="2"/>
    <s v="Home"/>
    <n v="744691"/>
    <n v="34189907.090000004"/>
    <n v="-3542205.26"/>
    <n v="-10.36"/>
  </r>
  <r>
    <x v="0"/>
    <x v="2"/>
    <s v="Jewelry"/>
    <n v="722478"/>
    <n v="32354970.550000001"/>
    <n v="-3801962.19"/>
    <n v="-11.75"/>
  </r>
  <r>
    <x v="0"/>
    <x v="2"/>
    <s v="Men"/>
    <n v="778098"/>
    <n v="35872561.43"/>
    <n v="-3595970.01"/>
    <n v="-10.02"/>
  </r>
  <r>
    <x v="0"/>
    <x v="2"/>
    <s v="Music"/>
    <n v="701919"/>
    <n v="31692440.859999999"/>
    <n v="-3943207.1"/>
    <n v="-12.44"/>
  </r>
  <r>
    <x v="0"/>
    <x v="2"/>
    <s v="Shoes"/>
    <n v="740817"/>
    <n v="33299364.359999999"/>
    <n v="-3906470.78"/>
    <n v="-11.73"/>
  </r>
  <r>
    <x v="0"/>
    <x v="2"/>
    <s v="Sports"/>
    <n v="694171"/>
    <n v="31567222.449999999"/>
    <n v="-3585910.95"/>
    <n v="-11.36"/>
  </r>
  <r>
    <x v="0"/>
    <x v="2"/>
    <s v="Women"/>
    <n v="667782"/>
    <n v="30377096.890000001"/>
    <n v="-3537906.05"/>
    <n v="-11.65"/>
  </r>
  <r>
    <x v="1"/>
    <x v="0"/>
    <s v="Books"/>
    <n v="1437712"/>
    <n v="65019729.590000004"/>
    <n v="-7833428.7699999996"/>
    <n v="-12.05"/>
  </r>
  <r>
    <x v="1"/>
    <x v="0"/>
    <s v="Children"/>
    <n v="1451797"/>
    <n v="65932338.07"/>
    <n v="-7214724.8499999996"/>
    <n v="-10.94"/>
  </r>
  <r>
    <x v="1"/>
    <x v="0"/>
    <s v="Electronics"/>
    <n v="1433359"/>
    <n v="65226527.759999998"/>
    <n v="-7746312.9800000004"/>
    <n v="-11.88"/>
  </r>
  <r>
    <x v="1"/>
    <x v="0"/>
    <s v="Home"/>
    <n v="1463913"/>
    <n v="67524453.260000005"/>
    <n v="-6825581.3099999996"/>
    <n v="-10.11"/>
  </r>
  <r>
    <x v="1"/>
    <x v="0"/>
    <s v="Jewelry"/>
    <n v="1418437"/>
    <n v="64460117.890000001"/>
    <n v="-7190673.5999999996"/>
    <n v="-11.16"/>
  </r>
  <r>
    <x v="1"/>
    <x v="0"/>
    <s v="Men"/>
    <n v="1502444"/>
    <n v="68244457.879999995"/>
    <n v="-7480004.79"/>
    <n v="-10.96"/>
  </r>
  <r>
    <x v="1"/>
    <x v="0"/>
    <s v="Music"/>
    <n v="1411964"/>
    <n v="63381419.060000002"/>
    <n v="-7808350.0899999999"/>
    <n v="-12.32"/>
  </r>
  <r>
    <x v="1"/>
    <x v="0"/>
    <s v="Shoes"/>
    <n v="1464042"/>
    <n v="66469414.399999999"/>
    <n v="-6997778.7199999997"/>
    <n v="-10.53"/>
  </r>
  <r>
    <x v="1"/>
    <x v="0"/>
    <s v="Sports"/>
    <n v="1383144"/>
    <n v="62312643.799999997"/>
    <n v="-7609001.8200000003"/>
    <n v="-12.21"/>
  </r>
  <r>
    <x v="1"/>
    <x v="0"/>
    <s v="Women"/>
    <n v="1306257"/>
    <n v="59737298.759999998"/>
    <n v="-6289356.6900000004"/>
    <n v="-10.53"/>
  </r>
  <r>
    <x v="1"/>
    <x v="1"/>
    <s v="Books"/>
    <n v="2697830"/>
    <n v="92305916.799999997"/>
    <n v="-44228523.469999999"/>
    <n v="-47.92"/>
  </r>
  <r>
    <x v="1"/>
    <x v="1"/>
    <s v="Children"/>
    <n v="2682109"/>
    <n v="91739905.620000005"/>
    <n v="-44730129.619999997"/>
    <n v="-48.76"/>
  </r>
  <r>
    <x v="1"/>
    <x v="1"/>
    <s v="Electronics"/>
    <n v="2700523"/>
    <n v="92855422.030000001"/>
    <n v="-44838005.969999999"/>
    <n v="-48.29"/>
  </r>
  <r>
    <x v="1"/>
    <x v="1"/>
    <s v="Home"/>
    <n v="2717461"/>
    <n v="92820598.75"/>
    <n v="-45008882.079999998"/>
    <n v="-48.49"/>
  </r>
  <r>
    <x v="1"/>
    <x v="1"/>
    <s v="Jewelry"/>
    <n v="2592450"/>
    <n v="88103738.760000005"/>
    <n v="-43147571.729999997"/>
    <n v="-48.97"/>
  </r>
  <r>
    <x v="1"/>
    <x v="1"/>
    <s v="Men"/>
    <n v="2808522"/>
    <n v="96966641.409999996"/>
    <n v="-46158045.450000003"/>
    <n v="-47.6"/>
  </r>
  <r>
    <x v="1"/>
    <x v="1"/>
    <s v="Music"/>
    <n v="2625632"/>
    <n v="90063763.060000002"/>
    <n v="-43568420.460000001"/>
    <n v="-48.38"/>
  </r>
  <r>
    <x v="1"/>
    <x v="1"/>
    <s v="Shoes"/>
    <n v="2738946"/>
    <n v="95139756.290000007"/>
    <n v="-44650470.079999998"/>
    <n v="-46.93"/>
  </r>
  <r>
    <x v="1"/>
    <x v="1"/>
    <s v="Sports"/>
    <n v="2596847"/>
    <n v="89688631.629999995"/>
    <n v="-42885231.07"/>
    <n v="-47.82"/>
  </r>
  <r>
    <x v="1"/>
    <x v="1"/>
    <s v="Women"/>
    <n v="2432674"/>
    <n v="82963854.760000005"/>
    <n v="-40992807.850000001"/>
    <n v="-49.41"/>
  </r>
  <r>
    <x v="1"/>
    <x v="2"/>
    <s v="Books"/>
    <n v="722200"/>
    <n v="32531968.780000001"/>
    <n v="-4038771.39"/>
    <n v="-12.41"/>
  </r>
  <r>
    <x v="1"/>
    <x v="2"/>
    <s v="Children"/>
    <n v="722857"/>
    <n v="32647848.100000001"/>
    <n v="-3479786.14"/>
    <n v="-10.66"/>
  </r>
  <r>
    <x v="1"/>
    <x v="2"/>
    <s v="Electronics"/>
    <n v="724747"/>
    <n v="33286913.559999999"/>
    <n v="-3233731.25"/>
    <n v="-9.7100000000000009"/>
  </r>
  <r>
    <x v="1"/>
    <x v="2"/>
    <s v="Home"/>
    <n v="733741"/>
    <n v="33506162.34"/>
    <n v="-3348171.29"/>
    <n v="-9.99"/>
  </r>
  <r>
    <x v="1"/>
    <x v="2"/>
    <s v="Jewelry"/>
    <n v="708836"/>
    <n v="32040220.399999999"/>
    <n v="-3820771.65"/>
    <n v="-11.92"/>
  </r>
  <r>
    <x v="1"/>
    <x v="2"/>
    <s v="Men"/>
    <n v="775864"/>
    <n v="35450469.5"/>
    <n v="-4205553.5599999996"/>
    <n v="-11.86"/>
  </r>
  <r>
    <x v="1"/>
    <x v="2"/>
    <s v="Music"/>
    <n v="714630"/>
    <n v="33336810.559999999"/>
    <n v="-2880554.37"/>
    <n v="-8.64"/>
  </r>
  <r>
    <x v="1"/>
    <x v="2"/>
    <s v="Shoes"/>
    <n v="737284"/>
    <n v="33139281.879999999"/>
    <n v="-4033587.56"/>
    <n v="-12.17"/>
  </r>
  <r>
    <x v="1"/>
    <x v="2"/>
    <s v="Sports"/>
    <n v="711146"/>
    <n v="32152888.329999998"/>
    <n v="-3643383.1"/>
    <n v="-11.33"/>
  </r>
  <r>
    <x v="1"/>
    <x v="2"/>
    <s v="Women"/>
    <n v="665009"/>
    <n v="30517764.640000001"/>
    <n v="-2943765.78"/>
    <n v="-9.65"/>
  </r>
  <r>
    <x v="2"/>
    <x v="0"/>
    <s v="Books"/>
    <n v="1528523"/>
    <n v="69280058.569999993"/>
    <n v="-8166979.6200000001"/>
    <n v="-11.79"/>
  </r>
  <r>
    <x v="2"/>
    <x v="0"/>
    <s v="Children"/>
    <n v="1460753"/>
    <n v="66606539.799999997"/>
    <n v="-7551472.5300000003"/>
    <n v="-11.34"/>
  </r>
  <r>
    <x v="2"/>
    <x v="0"/>
    <s v="Electronics"/>
    <n v="1458952"/>
    <n v="66536534.890000001"/>
    <n v="-7207402.2599999998"/>
    <n v="-10.83"/>
  </r>
  <r>
    <x v="2"/>
    <x v="0"/>
    <s v="Home"/>
    <n v="1471206"/>
    <n v="66767736.359999999"/>
    <n v="-7228089.79"/>
    <n v="-10.83"/>
  </r>
  <r>
    <x v="2"/>
    <x v="0"/>
    <s v="Jewelry"/>
    <n v="1323500"/>
    <n v="59820519.640000001"/>
    <n v="-7557709.2000000002"/>
    <n v="-12.63"/>
  </r>
  <r>
    <x v="2"/>
    <x v="0"/>
    <s v="Men"/>
    <n v="1529028"/>
    <n v="69485264.560000002"/>
    <n v="-7864499.7800000003"/>
    <n v="-11.32"/>
  </r>
  <r>
    <x v="2"/>
    <x v="0"/>
    <s v="Music"/>
    <n v="1423921"/>
    <n v="63978565.109999999"/>
    <n v="-8043636.5300000003"/>
    <n v="-12.57"/>
  </r>
  <r>
    <x v="2"/>
    <x v="0"/>
    <s v="Shoes"/>
    <n v="1449017"/>
    <n v="65768005.520000003"/>
    <n v="-7137509.2699999996"/>
    <n v="-10.85"/>
  </r>
  <r>
    <x v="2"/>
    <x v="0"/>
    <s v="Sports"/>
    <n v="1384532"/>
    <n v="63907328.439999998"/>
    <n v="-6609822.9400000004"/>
    <n v="-10.34"/>
  </r>
  <r>
    <x v="2"/>
    <x v="0"/>
    <s v="Women"/>
    <n v="1336226"/>
    <n v="60271199.189999998"/>
    <n v="-7062361.4299999997"/>
    <n v="-11.72"/>
  </r>
  <r>
    <x v="2"/>
    <x v="1"/>
    <s v="Books"/>
    <n v="2820825"/>
    <n v="97579549.890000001"/>
    <n v="-46131703.539999999"/>
    <n v="-47.28"/>
  </r>
  <r>
    <x v="2"/>
    <x v="1"/>
    <s v="Children"/>
    <n v="2743525"/>
    <n v="93603239.290000007"/>
    <n v="-45711594.359999999"/>
    <n v="-48.84"/>
  </r>
  <r>
    <x v="2"/>
    <x v="1"/>
    <s v="Electronics"/>
    <n v="2710715"/>
    <n v="93703677.75"/>
    <n v="-44306873.229999997"/>
    <n v="-47.28"/>
  </r>
  <r>
    <x v="2"/>
    <x v="1"/>
    <s v="Home"/>
    <n v="2734255"/>
    <n v="94039823.370000005"/>
    <n v="-44840033.32"/>
    <n v="-47.68"/>
  </r>
  <r>
    <x v="2"/>
    <x v="1"/>
    <s v="Jewelry"/>
    <n v="2457965"/>
    <n v="84003209.480000004"/>
    <n v="-40440120.359999999"/>
    <n v="-48.14"/>
  </r>
  <r>
    <x v="2"/>
    <x v="1"/>
    <s v="Men"/>
    <n v="2825663"/>
    <n v="97362851.700000003"/>
    <n v="-46355545.060000002"/>
    <n v="-47.61"/>
  </r>
  <r>
    <x v="2"/>
    <x v="1"/>
    <s v="Music"/>
    <n v="2645781"/>
    <n v="90406571.159999996"/>
    <n v="-43428553.740000002"/>
    <n v="-48.04"/>
  </r>
  <r>
    <x v="2"/>
    <x v="1"/>
    <s v="Shoes"/>
    <n v="2652383"/>
    <n v="90581792.739999995"/>
    <n v="-44352185.32"/>
    <n v="-48.96"/>
  </r>
  <r>
    <x v="2"/>
    <x v="1"/>
    <s v="Sports"/>
    <n v="2559140"/>
    <n v="87591857.819999993"/>
    <n v="-41952701.359999999"/>
    <n v="-47.9"/>
  </r>
  <r>
    <x v="2"/>
    <x v="1"/>
    <s v="Women"/>
    <n v="2476155"/>
    <n v="84867492.359999999"/>
    <n v="-40379279.789999999"/>
    <n v="-47.58"/>
  </r>
  <r>
    <x v="2"/>
    <x v="2"/>
    <s v="Books"/>
    <n v="762866"/>
    <n v="35430664.909999996"/>
    <n v="-3072668.28"/>
    <n v="-8.67"/>
  </r>
  <r>
    <x v="2"/>
    <x v="2"/>
    <s v="Children"/>
    <n v="739701"/>
    <n v="33760378.409999996"/>
    <n v="-3683195.64"/>
    <n v="-10.91"/>
  </r>
  <r>
    <x v="2"/>
    <x v="2"/>
    <s v="Electronics"/>
    <n v="737043"/>
    <n v="33243530.170000002"/>
    <n v="-3773104.96"/>
    <n v="-11.35"/>
  </r>
  <r>
    <x v="2"/>
    <x v="2"/>
    <s v="Home"/>
    <n v="737196"/>
    <n v="33145164.93"/>
    <n v="-4080511.48"/>
    <n v="-12.31"/>
  </r>
  <r>
    <x v="2"/>
    <x v="2"/>
    <s v="Jewelry"/>
    <n v="663052"/>
    <n v="30076030.73"/>
    <n v="-3593151.15"/>
    <n v="-11.95"/>
  </r>
  <r>
    <x v="2"/>
    <x v="2"/>
    <s v="Men"/>
    <n v="763234"/>
    <n v="34918777.340000004"/>
    <n v="-3775185.37"/>
    <n v="-10.81"/>
  </r>
  <r>
    <x v="2"/>
    <x v="2"/>
    <s v="Music"/>
    <n v="712665"/>
    <n v="32285995.120000001"/>
    <n v="-3645487.5"/>
    <n v="-11.29"/>
  </r>
  <r>
    <x v="2"/>
    <x v="2"/>
    <s v="Shoes"/>
    <n v="726529"/>
    <n v="32756827.420000002"/>
    <n v="-3727363.97"/>
    <n v="-11.38"/>
  </r>
  <r>
    <x v="2"/>
    <x v="2"/>
    <s v="Sports"/>
    <n v="695666"/>
    <n v="31712254.780000001"/>
    <n v="-3695208.41"/>
    <n v="-11.65"/>
  </r>
  <r>
    <x v="2"/>
    <x v="2"/>
    <s v="Women"/>
    <n v="669221"/>
    <n v="30795989.18"/>
    <n v="-2985662.43"/>
    <n v="-9.69"/>
  </r>
  <r>
    <x v="3"/>
    <x v="0"/>
    <s v="Books"/>
    <n v="1563000"/>
    <n v="70077756.040000007"/>
    <n v="-8669641.9800000004"/>
    <n v="-12.37"/>
  </r>
  <r>
    <x v="3"/>
    <x v="0"/>
    <s v="Children"/>
    <n v="1481005"/>
    <n v="67017486.670000002"/>
    <n v="-8250576.5899999999"/>
    <n v="-12.31"/>
  </r>
  <r>
    <x v="3"/>
    <x v="0"/>
    <s v="Electronics"/>
    <n v="1484370"/>
    <n v="67390761.5"/>
    <n v="-7801084.7999999998"/>
    <n v="-11.58"/>
  </r>
  <r>
    <x v="3"/>
    <x v="0"/>
    <s v="Home"/>
    <n v="1488599"/>
    <n v="67559108.340000004"/>
    <n v="-7556018.3799999999"/>
    <n v="-11.18"/>
  </r>
  <r>
    <x v="3"/>
    <x v="0"/>
    <s v="Jewelry"/>
    <n v="1331883"/>
    <n v="60794480.890000001"/>
    <n v="-6744551.75"/>
    <n v="-11.09"/>
  </r>
  <r>
    <x v="3"/>
    <x v="0"/>
    <s v="Men"/>
    <n v="1517342"/>
    <n v="68836377.810000002"/>
    <n v="-7503798.7999999998"/>
    <n v="-10.9"/>
  </r>
  <r>
    <x v="3"/>
    <x v="0"/>
    <s v="Music"/>
    <n v="1402140"/>
    <n v="63599558.469999999"/>
    <n v="-7400836.9100000001"/>
    <n v="-11.64"/>
  </r>
  <r>
    <x v="3"/>
    <x v="0"/>
    <s v="Shoes"/>
    <n v="1356377"/>
    <n v="61479237.299999997"/>
    <n v="-6838311.5499999998"/>
    <n v="-11.12"/>
  </r>
  <r>
    <x v="3"/>
    <x v="0"/>
    <s v="Sports"/>
    <n v="1336492"/>
    <n v="61493841.670000002"/>
    <n v="-6540490.6900000004"/>
    <n v="-10.64"/>
  </r>
  <r>
    <x v="3"/>
    <x v="0"/>
    <s v="Women"/>
    <n v="1382597"/>
    <n v="62585416.789999999"/>
    <n v="-7328042.29"/>
    <n v="-11.71"/>
  </r>
  <r>
    <x v="3"/>
    <x v="1"/>
    <s v="Books"/>
    <n v="2857953"/>
    <n v="98682598.859999999"/>
    <n v="-46661875.920000002"/>
    <n v="-47.28"/>
  </r>
  <r>
    <x v="3"/>
    <x v="1"/>
    <s v="Children"/>
    <n v="2690553"/>
    <n v="91784538.620000005"/>
    <n v="-44738990.789999999"/>
    <n v="-48.74"/>
  </r>
  <r>
    <x v="3"/>
    <x v="1"/>
    <s v="Electronics"/>
    <n v="2740354"/>
    <n v="93638997.180000007"/>
    <n v="-45193488.770000003"/>
    <n v="-48.26"/>
  </r>
  <r>
    <x v="3"/>
    <x v="1"/>
    <s v="Home"/>
    <n v="2742045"/>
    <n v="93558705.049999997"/>
    <n v="-45746903"/>
    <n v="-48.9"/>
  </r>
  <r>
    <x v="3"/>
    <x v="1"/>
    <s v="Jewelry"/>
    <n v="2511018"/>
    <n v="86716249.849999994"/>
    <n v="-40809264.229999997"/>
    <n v="-47.06"/>
  </r>
  <r>
    <x v="3"/>
    <x v="1"/>
    <s v="Men"/>
    <n v="2781474"/>
    <n v="95733943.760000005"/>
    <n v="-45818330.560000002"/>
    <n v="-47.86"/>
  </r>
  <r>
    <x v="3"/>
    <x v="1"/>
    <s v="Music"/>
    <n v="2558623"/>
    <n v="88100714.420000002"/>
    <n v="-42931578.130000003"/>
    <n v="-48.73"/>
  </r>
  <r>
    <x v="3"/>
    <x v="1"/>
    <s v="Shoes"/>
    <n v="2500714"/>
    <n v="85524880.930000007"/>
    <n v="-41442357.710000001"/>
    <n v="-48.46"/>
  </r>
  <r>
    <x v="3"/>
    <x v="1"/>
    <s v="Sports"/>
    <n v="2460573"/>
    <n v="83889160.719999999"/>
    <n v="-40512604.890000001"/>
    <n v="-48.29"/>
  </r>
  <r>
    <x v="3"/>
    <x v="1"/>
    <s v="Women"/>
    <n v="2484081"/>
    <n v="85042951.030000001"/>
    <n v="-40924248.810000002"/>
    <n v="-48.12"/>
  </r>
  <r>
    <x v="3"/>
    <x v="2"/>
    <s v="Books"/>
    <n v="791562"/>
    <n v="35765359.170000002"/>
    <n v="-4149437.06"/>
    <n v="-11.6"/>
  </r>
  <r>
    <x v="3"/>
    <x v="2"/>
    <s v="Children"/>
    <n v="736554"/>
    <n v="34185638.039999999"/>
    <n v="-3032229.62"/>
    <n v="-8.8699999999999992"/>
  </r>
  <r>
    <x v="3"/>
    <x v="2"/>
    <s v="Electronics"/>
    <n v="747543"/>
    <n v="33632557.649999999"/>
    <n v="-4000868.4"/>
    <n v="-11.9"/>
  </r>
  <r>
    <x v="3"/>
    <x v="2"/>
    <s v="Home"/>
    <n v="752160"/>
    <n v="34299263.289999999"/>
    <n v="-3819780.2"/>
    <n v="-11.14"/>
  </r>
  <r>
    <x v="3"/>
    <x v="2"/>
    <s v="Jewelry"/>
    <n v="689235"/>
    <n v="30893463.640000001"/>
    <n v="-3958843.46"/>
    <n v="-12.81"/>
  </r>
  <r>
    <x v="3"/>
    <x v="2"/>
    <s v="Men"/>
    <n v="757938"/>
    <n v="34301963.729999997"/>
    <n v="-3954701.86"/>
    <n v="-11.53"/>
  </r>
  <r>
    <x v="3"/>
    <x v="2"/>
    <s v="Music"/>
    <n v="708526"/>
    <n v="32679955.120000001"/>
    <n v="-3672429.62"/>
    <n v="-11.24"/>
  </r>
  <r>
    <x v="3"/>
    <x v="2"/>
    <s v="Shoes"/>
    <n v="690126"/>
    <n v="30973438.420000002"/>
    <n v="-4054484.09"/>
    <n v="-13.09"/>
  </r>
  <r>
    <x v="3"/>
    <x v="2"/>
    <s v="Sports"/>
    <n v="670064"/>
    <n v="30492050.579999998"/>
    <n v="-3513515"/>
    <n v="-11.52"/>
  </r>
  <r>
    <x v="3"/>
    <x v="2"/>
    <s v="Women"/>
    <n v="687303"/>
    <n v="31276464.489999998"/>
    <n v="-3451189.62"/>
    <n v="-11.03"/>
  </r>
  <r>
    <x v="4"/>
    <x v="0"/>
    <s v="Books"/>
    <n v="1484716"/>
    <n v="66828881.299999997"/>
    <n v="-7616471.8799999999"/>
    <n v="-11.4"/>
  </r>
  <r>
    <x v="4"/>
    <x v="0"/>
    <s v="Children"/>
    <n v="1428310"/>
    <n v="65289258.609999999"/>
    <n v="-7119691.9100000001"/>
    <n v="-10.9"/>
  </r>
  <r>
    <x v="4"/>
    <x v="0"/>
    <s v="Electronics"/>
    <n v="1492305"/>
    <n v="68524202.400000006"/>
    <n v="-7124071.71"/>
    <n v="-10.4"/>
  </r>
  <r>
    <x v="4"/>
    <x v="0"/>
    <s v="Home"/>
    <n v="1523906"/>
    <n v="69438480.030000001"/>
    <n v="-7666718.7699999996"/>
    <n v="-11.04"/>
  </r>
  <r>
    <x v="4"/>
    <x v="0"/>
    <s v="Jewelry"/>
    <n v="1353074"/>
    <n v="62226148.520000003"/>
    <n v="-6146275.5700000003"/>
    <n v="-9.8800000000000008"/>
  </r>
  <r>
    <x v="4"/>
    <x v="0"/>
    <s v="Men"/>
    <n v="1489101"/>
    <n v="68261457.129999995"/>
    <n v="-7123604.5099999998"/>
    <n v="-10.44"/>
  </r>
  <r>
    <x v="4"/>
    <x v="0"/>
    <s v="Music"/>
    <n v="1393745"/>
    <n v="63328752.969999999"/>
    <n v="-7002191.7999999998"/>
    <n v="-11.06"/>
  </r>
  <r>
    <x v="4"/>
    <x v="0"/>
    <s v="Shoes"/>
    <n v="1421339"/>
    <n v="64974886.310000002"/>
    <n v="-7170146.2300000004"/>
    <n v="-11.04"/>
  </r>
  <r>
    <x v="4"/>
    <x v="0"/>
    <s v="Sports"/>
    <n v="1375939"/>
    <n v="62482056.43"/>
    <n v="-7372324.0899999999"/>
    <n v="-11.8"/>
  </r>
  <r>
    <x v="4"/>
    <x v="0"/>
    <s v="Women"/>
    <n v="1389863"/>
    <n v="63032687.299999997"/>
    <n v="-7630276.4199999999"/>
    <n v="-12.11"/>
  </r>
  <r>
    <x v="4"/>
    <x v="1"/>
    <s v="Books"/>
    <n v="2729585"/>
    <n v="93922295.670000002"/>
    <n v="-45145620.450000003"/>
    <n v="-48.07"/>
  </r>
  <r>
    <x v="4"/>
    <x v="1"/>
    <s v="Children"/>
    <n v="2657697"/>
    <n v="91538216.659999996"/>
    <n v="-43705845.350000001"/>
    <n v="-47.75"/>
  </r>
  <r>
    <x v="4"/>
    <x v="1"/>
    <s v="Electronics"/>
    <n v="2744191"/>
    <n v="93650059.049999997"/>
    <n v="-45764964.979999997"/>
    <n v="-48.87"/>
  </r>
  <r>
    <x v="4"/>
    <x v="1"/>
    <s v="Home"/>
    <n v="2816621"/>
    <n v="96480043.379999995"/>
    <n v="-46702360.200000003"/>
    <n v="-48.41"/>
  </r>
  <r>
    <x v="4"/>
    <x v="1"/>
    <s v="Jewelry"/>
    <n v="2496087"/>
    <n v="85589597.239999995"/>
    <n v="-40925660.780000001"/>
    <n v="-47.82"/>
  </r>
  <r>
    <x v="4"/>
    <x v="1"/>
    <s v="Men"/>
    <n v="2753673"/>
    <n v="93907854.670000002"/>
    <n v="-45121575.689999998"/>
    <n v="-48.05"/>
  </r>
  <r>
    <x v="4"/>
    <x v="1"/>
    <s v="Music"/>
    <n v="2559145"/>
    <n v="87407127.909999996"/>
    <n v="-42556622.82"/>
    <n v="-48.69"/>
  </r>
  <r>
    <x v="4"/>
    <x v="1"/>
    <s v="Shoes"/>
    <n v="2630022"/>
    <n v="89622394.719999999"/>
    <n v="-43699708.43"/>
    <n v="-48.76"/>
  </r>
  <r>
    <x v="4"/>
    <x v="1"/>
    <s v="Sports"/>
    <n v="2589423"/>
    <n v="88976970.799999997"/>
    <n v="-42610437.579999998"/>
    <n v="-47.89"/>
  </r>
  <r>
    <x v="4"/>
    <x v="1"/>
    <s v="Women"/>
    <n v="2545689"/>
    <n v="87699772.530000001"/>
    <n v="-42116503.619999997"/>
    <n v="-48.02"/>
  </r>
  <r>
    <x v="4"/>
    <x v="2"/>
    <s v="Books"/>
    <n v="748005"/>
    <n v="33921033.380000003"/>
    <n v="-3975684.34"/>
    <n v="-11.72"/>
  </r>
  <r>
    <x v="4"/>
    <x v="2"/>
    <s v="Children"/>
    <n v="725527"/>
    <n v="32833121.460000001"/>
    <n v="-3554598.29"/>
    <n v="-10.83"/>
  </r>
  <r>
    <x v="4"/>
    <x v="2"/>
    <s v="Electronics"/>
    <n v="739907"/>
    <n v="33236179.440000001"/>
    <n v="-3968061.7"/>
    <n v="-11.94"/>
  </r>
  <r>
    <x v="4"/>
    <x v="2"/>
    <s v="Home"/>
    <n v="779271"/>
    <n v="35405502.640000001"/>
    <n v="-3955747.21"/>
    <n v="-11.17"/>
  </r>
  <r>
    <x v="4"/>
    <x v="2"/>
    <s v="Jewelry"/>
    <n v="688470"/>
    <n v="32278179.239999998"/>
    <n v="-2705937.28"/>
    <n v="-8.3800000000000008"/>
  </r>
  <r>
    <x v="4"/>
    <x v="2"/>
    <s v="Men"/>
    <n v="741222"/>
    <n v="33706137.420000002"/>
    <n v="-3712581.41"/>
    <n v="-11.01"/>
  </r>
  <r>
    <x v="4"/>
    <x v="2"/>
    <s v="Music"/>
    <n v="697657"/>
    <n v="31619104.739999998"/>
    <n v="-3283687.99"/>
    <n v="-10.39"/>
  </r>
  <r>
    <x v="4"/>
    <x v="2"/>
    <s v="Shoes"/>
    <n v="716733"/>
    <n v="32334754.100000001"/>
    <n v="-3633105.56"/>
    <n v="-11.24"/>
  </r>
  <r>
    <x v="4"/>
    <x v="2"/>
    <s v="Sports"/>
    <n v="707692"/>
    <n v="32078859.620000001"/>
    <n v="-3533121.96"/>
    <n v="-11.01"/>
  </r>
  <r>
    <x v="4"/>
    <x v="2"/>
    <s v="Women"/>
    <n v="694713"/>
    <n v="31585970.77"/>
    <n v="-3534351.07"/>
    <n v="-11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704E8-50AF-F54C-BB80-D30D1CFEF47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venue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54A2-1731-964F-B507-0EAC962477D4}">
  <dimension ref="A3:E10"/>
  <sheetViews>
    <sheetView workbookViewId="0">
      <selection activeCell="E17" sqref="E17"/>
    </sheetView>
  </sheetViews>
  <sheetFormatPr baseColWidth="10" defaultRowHeight="16" x14ac:dyDescent="0.2"/>
  <cols>
    <col min="1" max="1" width="18.5" bestFit="1" customWidth="1"/>
    <col min="2" max="2" width="16" bestFit="1" customWidth="1"/>
    <col min="3" max="4" width="6.83203125" bestFit="1" customWidth="1"/>
    <col min="5" max="5" width="10.5" bestFit="1" customWidth="1"/>
  </cols>
  <sheetData>
    <row r="3" spans="1:5" x14ac:dyDescent="0.2">
      <c r="A3" s="1" t="s">
        <v>23</v>
      </c>
      <c r="B3" s="1" t="s">
        <v>22</v>
      </c>
    </row>
    <row r="4" spans="1:5" x14ac:dyDescent="0.2">
      <c r="A4" s="1" t="s">
        <v>20</v>
      </c>
      <c r="B4" t="s">
        <v>7</v>
      </c>
      <c r="C4" t="s">
        <v>18</v>
      </c>
      <c r="D4" t="s">
        <v>19</v>
      </c>
      <c r="E4" t="s">
        <v>21</v>
      </c>
    </row>
    <row r="5" spans="1:5" x14ac:dyDescent="0.2">
      <c r="A5" s="2">
        <v>1998</v>
      </c>
      <c r="B5" s="3">
        <v>655013633.81999993</v>
      </c>
      <c r="C5" s="3">
        <v>906687725.0999999</v>
      </c>
      <c r="D5" s="3">
        <v>329397180.58000004</v>
      </c>
      <c r="E5" s="3">
        <v>1891098539.5</v>
      </c>
    </row>
    <row r="6" spans="1:5" x14ac:dyDescent="0.2">
      <c r="A6" s="2">
        <v>1999</v>
      </c>
      <c r="B6" s="3">
        <v>648308400.46999991</v>
      </c>
      <c r="C6" s="3">
        <v>912648229.11000001</v>
      </c>
      <c r="D6" s="3">
        <v>328610328.08999997</v>
      </c>
      <c r="E6" s="3">
        <v>1889566957.6699998</v>
      </c>
    </row>
    <row r="7" spans="1:5" x14ac:dyDescent="0.2">
      <c r="A7" s="2">
        <v>2000</v>
      </c>
      <c r="B7" s="3">
        <v>652421752.07999992</v>
      </c>
      <c r="C7" s="3">
        <v>913740065.56000006</v>
      </c>
      <c r="D7" s="3">
        <v>328125612.98999995</v>
      </c>
      <c r="E7" s="3">
        <v>1894287430.6299999</v>
      </c>
    </row>
    <row r="8" spans="1:5" x14ac:dyDescent="0.2">
      <c r="A8" s="2">
        <v>2001</v>
      </c>
      <c r="B8" s="3">
        <v>650834025.48000002</v>
      </c>
      <c r="C8" s="3">
        <v>902672740.42000008</v>
      </c>
      <c r="D8" s="3">
        <v>328500154.13</v>
      </c>
      <c r="E8" s="3">
        <v>1882006920.0300002</v>
      </c>
    </row>
    <row r="9" spans="1:5" x14ac:dyDescent="0.2">
      <c r="A9" s="2">
        <v>2002</v>
      </c>
      <c r="B9" s="3">
        <v>654386811</v>
      </c>
      <c r="C9" s="3">
        <v>908794332.62999988</v>
      </c>
      <c r="D9" s="3">
        <v>328998842.81</v>
      </c>
      <c r="E9" s="3">
        <v>1892179986.4399998</v>
      </c>
    </row>
    <row r="10" spans="1:5" x14ac:dyDescent="0.2">
      <c r="A10" s="2" t="s">
        <v>21</v>
      </c>
      <c r="B10" s="3">
        <v>3260964622.8499999</v>
      </c>
      <c r="C10" s="3">
        <v>4544543092.8199997</v>
      </c>
      <c r="D10" s="3">
        <v>1643632118.5999999</v>
      </c>
      <c r="E10" s="3">
        <v>9449139834.2700005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7BBB-0B09-FD43-A5B5-AAF114C8E4DA}">
  <dimension ref="A1:K151"/>
  <sheetViews>
    <sheetView tabSelected="1" topLeftCell="B1" workbookViewId="0">
      <selection activeCell="K1" sqref="K1:K1048576"/>
    </sheetView>
  </sheetViews>
  <sheetFormatPr baseColWidth="10" defaultRowHeight="16" x14ac:dyDescent="0.2"/>
  <cols>
    <col min="5" max="5" width="12.33203125" customWidth="1"/>
    <col min="7" max="7" width="19" customWidth="1"/>
    <col min="8" max="8" width="22.6640625" customWidth="1"/>
    <col min="9" max="9" width="16" customWidth="1"/>
    <col min="10" max="10" width="16.6640625" customWidth="1"/>
    <col min="11" max="11" width="17.83203125" style="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24</v>
      </c>
      <c r="J1" t="s">
        <v>25</v>
      </c>
      <c r="K1" s="5" t="s">
        <v>27</v>
      </c>
    </row>
    <row r="2" spans="1:11" ht="17" x14ac:dyDescent="0.25">
      <c r="A2">
        <v>1998</v>
      </c>
      <c r="B2" t="s">
        <v>7</v>
      </c>
      <c r="C2" t="s">
        <v>8</v>
      </c>
      <c r="D2">
        <v>1458078</v>
      </c>
      <c r="E2">
        <v>66058065.950000003</v>
      </c>
      <c r="F2">
        <v>-7481005.5099999998</v>
      </c>
      <c r="G2">
        <v>-11.32</v>
      </c>
      <c r="H2" t="str">
        <f>A2&amp;"|"&amp;B2&amp;"|"&amp;C2</f>
        <v>1998|Catalog|Books</v>
      </c>
      <c r="I2" t="s">
        <v>13</v>
      </c>
      <c r="J2" s="4">
        <f>_xlfn.XLOOKUP("2002|Store|"&amp;I2,$H$2:$H$151,$E$2:$E$151,"Not Found")</f>
        <v>93907854.670000002</v>
      </c>
      <c r="K2" s="5">
        <f>F2/E2</f>
        <v>-0.11324893338025437</v>
      </c>
    </row>
    <row r="3" spans="1:11" x14ac:dyDescent="0.2">
      <c r="A3">
        <v>1998</v>
      </c>
      <c r="B3" t="s">
        <v>7</v>
      </c>
      <c r="C3" t="s">
        <v>9</v>
      </c>
      <c r="D3">
        <v>1433102</v>
      </c>
      <c r="E3">
        <v>66306218.270000003</v>
      </c>
      <c r="F3">
        <v>-6432444.54</v>
      </c>
      <c r="G3">
        <v>-9.6999999999999993</v>
      </c>
      <c r="H3" t="str">
        <f t="shared" ref="H3:H66" si="0">A3&amp;"|"&amp;B3&amp;"|"&amp;C3</f>
        <v>1998|Catalog|Children</v>
      </c>
    </row>
    <row r="4" spans="1:11" x14ac:dyDescent="0.2">
      <c r="A4">
        <v>1998</v>
      </c>
      <c r="B4" t="s">
        <v>7</v>
      </c>
      <c r="C4" t="s">
        <v>10</v>
      </c>
      <c r="D4">
        <v>1459857</v>
      </c>
      <c r="E4">
        <v>66540681.560000002</v>
      </c>
      <c r="F4">
        <v>-7485822.1200000001</v>
      </c>
      <c r="G4">
        <v>-11.25</v>
      </c>
      <c r="H4" t="str">
        <f t="shared" si="0"/>
        <v>1998|Catalog|Electronics</v>
      </c>
    </row>
    <row r="5" spans="1:11" x14ac:dyDescent="0.2">
      <c r="A5">
        <v>1998</v>
      </c>
      <c r="B5" t="s">
        <v>7</v>
      </c>
      <c r="C5" t="s">
        <v>11</v>
      </c>
      <c r="D5">
        <v>1458901</v>
      </c>
      <c r="E5">
        <v>65960999.289999999</v>
      </c>
      <c r="F5">
        <v>-7616665.1699999999</v>
      </c>
      <c r="G5">
        <v>-11.55</v>
      </c>
      <c r="H5" t="str">
        <f t="shared" si="0"/>
        <v>1998|Catalog|Home</v>
      </c>
    </row>
    <row r="6" spans="1:11" x14ac:dyDescent="0.2">
      <c r="A6">
        <v>1998</v>
      </c>
      <c r="B6" t="s">
        <v>7</v>
      </c>
      <c r="C6" t="s">
        <v>12</v>
      </c>
      <c r="D6">
        <v>1406265</v>
      </c>
      <c r="E6">
        <v>64382274.240000002</v>
      </c>
      <c r="F6">
        <v>-6813952.5899999999</v>
      </c>
      <c r="G6">
        <v>-10.58</v>
      </c>
      <c r="H6" t="str">
        <f t="shared" si="0"/>
        <v>1998|Catalog|Jewelry</v>
      </c>
    </row>
    <row r="7" spans="1:11" x14ac:dyDescent="0.2">
      <c r="A7">
        <v>1998</v>
      </c>
      <c r="B7" t="s">
        <v>7</v>
      </c>
      <c r="C7" t="s">
        <v>13</v>
      </c>
      <c r="D7">
        <v>1504295</v>
      </c>
      <c r="E7">
        <v>68837745.319999993</v>
      </c>
      <c r="F7">
        <v>-7289002.8899999997</v>
      </c>
      <c r="G7">
        <v>-10.59</v>
      </c>
      <c r="H7" t="str">
        <f t="shared" si="0"/>
        <v>1998|Catalog|Men</v>
      </c>
    </row>
    <row r="8" spans="1:11" x14ac:dyDescent="0.2">
      <c r="A8">
        <v>1998</v>
      </c>
      <c r="B8" t="s">
        <v>7</v>
      </c>
      <c r="C8" t="s">
        <v>14</v>
      </c>
      <c r="D8">
        <v>1413649</v>
      </c>
      <c r="E8">
        <v>64779348.590000004</v>
      </c>
      <c r="F8">
        <v>-6784846.6200000001</v>
      </c>
      <c r="G8">
        <v>-10.47</v>
      </c>
      <c r="H8" t="str">
        <f t="shared" si="0"/>
        <v>1998|Catalog|Music</v>
      </c>
    </row>
    <row r="9" spans="1:11" x14ac:dyDescent="0.2">
      <c r="A9">
        <v>1998</v>
      </c>
      <c r="B9" t="s">
        <v>7</v>
      </c>
      <c r="C9" t="s">
        <v>15</v>
      </c>
      <c r="D9">
        <v>1489448</v>
      </c>
      <c r="E9">
        <v>68458818.769999996</v>
      </c>
      <c r="F9">
        <v>-7541807.5300000003</v>
      </c>
      <c r="G9">
        <v>-11.02</v>
      </c>
      <c r="H9" t="str">
        <f t="shared" si="0"/>
        <v>1998|Catalog|Shoes</v>
      </c>
    </row>
    <row r="10" spans="1:11" x14ac:dyDescent="0.2">
      <c r="A10">
        <v>1998</v>
      </c>
      <c r="B10" t="s">
        <v>7</v>
      </c>
      <c r="C10" t="s">
        <v>16</v>
      </c>
      <c r="D10">
        <v>1401543</v>
      </c>
      <c r="E10">
        <v>64175040.18</v>
      </c>
      <c r="F10">
        <v>-7028974.1699999999</v>
      </c>
      <c r="G10">
        <v>-10.95</v>
      </c>
      <c r="H10" t="str">
        <f t="shared" si="0"/>
        <v>1998|Catalog|Sports</v>
      </c>
    </row>
    <row r="11" spans="1:11" x14ac:dyDescent="0.2">
      <c r="A11">
        <v>1998</v>
      </c>
      <c r="B11" t="s">
        <v>7</v>
      </c>
      <c r="C11" t="s">
        <v>17</v>
      </c>
      <c r="D11">
        <v>1310706</v>
      </c>
      <c r="E11">
        <v>59514441.649999999</v>
      </c>
      <c r="F11">
        <v>-6521738.0599999996</v>
      </c>
      <c r="G11">
        <v>-10.96</v>
      </c>
      <c r="H11" t="str">
        <f t="shared" si="0"/>
        <v>1998|Catalog|Women</v>
      </c>
    </row>
    <row r="12" spans="1:11" x14ac:dyDescent="0.2">
      <c r="A12">
        <v>1998</v>
      </c>
      <c r="B12" t="s">
        <v>18</v>
      </c>
      <c r="C12" t="s">
        <v>8</v>
      </c>
      <c r="D12">
        <v>2681355</v>
      </c>
      <c r="E12">
        <v>92161797.709999993</v>
      </c>
      <c r="F12">
        <v>-44327391.619999997</v>
      </c>
      <c r="G12">
        <v>-48.1</v>
      </c>
      <c r="H12" t="str">
        <f t="shared" si="0"/>
        <v>1998|Store|Books</v>
      </c>
    </row>
    <row r="13" spans="1:11" x14ac:dyDescent="0.2">
      <c r="A13">
        <v>1998</v>
      </c>
      <c r="B13" t="s">
        <v>18</v>
      </c>
      <c r="C13" t="s">
        <v>9</v>
      </c>
      <c r="D13">
        <v>2666689</v>
      </c>
      <c r="E13">
        <v>90928186.430000007</v>
      </c>
      <c r="F13">
        <v>-44531437.299999997</v>
      </c>
      <c r="G13">
        <v>-48.97</v>
      </c>
      <c r="H13" t="str">
        <f t="shared" si="0"/>
        <v>1998|Store|Children</v>
      </c>
    </row>
    <row r="14" spans="1:11" x14ac:dyDescent="0.2">
      <c r="A14">
        <v>1998</v>
      </c>
      <c r="B14" t="s">
        <v>18</v>
      </c>
      <c r="C14" t="s">
        <v>10</v>
      </c>
      <c r="D14">
        <v>2676992</v>
      </c>
      <c r="E14">
        <v>91401840.609999999</v>
      </c>
      <c r="F14">
        <v>-44146114.579999998</v>
      </c>
      <c r="G14">
        <v>-48.3</v>
      </c>
      <c r="H14" t="str">
        <f t="shared" si="0"/>
        <v>1998|Store|Electronics</v>
      </c>
    </row>
    <row r="15" spans="1:11" x14ac:dyDescent="0.2">
      <c r="A15">
        <v>1998</v>
      </c>
      <c r="B15" t="s">
        <v>18</v>
      </c>
      <c r="C15" t="s">
        <v>11</v>
      </c>
      <c r="D15">
        <v>2701211</v>
      </c>
      <c r="E15">
        <v>92540662.709999993</v>
      </c>
      <c r="F15">
        <v>-43894595.829999998</v>
      </c>
      <c r="G15">
        <v>-47.43</v>
      </c>
      <c r="H15" t="str">
        <f t="shared" si="0"/>
        <v>1998|Store|Home</v>
      </c>
    </row>
    <row r="16" spans="1:11" x14ac:dyDescent="0.2">
      <c r="A16">
        <v>1998</v>
      </c>
      <c r="B16" t="s">
        <v>18</v>
      </c>
      <c r="C16" t="s">
        <v>12</v>
      </c>
      <c r="D16">
        <v>2581191</v>
      </c>
      <c r="E16">
        <v>87856730.450000003</v>
      </c>
      <c r="F16">
        <v>-43268467.659999996</v>
      </c>
      <c r="G16">
        <v>-49.25</v>
      </c>
      <c r="H16" t="str">
        <f t="shared" si="0"/>
        <v>1998|Store|Jewelry</v>
      </c>
    </row>
    <row r="17" spans="1:8" x14ac:dyDescent="0.2">
      <c r="A17">
        <v>1998</v>
      </c>
      <c r="B17" t="s">
        <v>18</v>
      </c>
      <c r="C17" t="s">
        <v>13</v>
      </c>
      <c r="D17">
        <v>2788343</v>
      </c>
      <c r="E17">
        <v>95249735.099999994</v>
      </c>
      <c r="F17">
        <v>-45810791.450000003</v>
      </c>
      <c r="G17">
        <v>-48.1</v>
      </c>
      <c r="H17" t="str">
        <f t="shared" si="0"/>
        <v>1998|Store|Men</v>
      </c>
    </row>
    <row r="18" spans="1:8" x14ac:dyDescent="0.2">
      <c r="A18">
        <v>1998</v>
      </c>
      <c r="B18" t="s">
        <v>18</v>
      </c>
      <c r="C18" t="s">
        <v>14</v>
      </c>
      <c r="D18">
        <v>2630068</v>
      </c>
      <c r="E18">
        <v>89899684.140000001</v>
      </c>
      <c r="F18">
        <v>-43476688.579999998</v>
      </c>
      <c r="G18">
        <v>-48.36</v>
      </c>
      <c r="H18" t="str">
        <f t="shared" si="0"/>
        <v>1998|Store|Music</v>
      </c>
    </row>
    <row r="19" spans="1:8" x14ac:dyDescent="0.2">
      <c r="A19">
        <v>1998</v>
      </c>
      <c r="B19" t="s">
        <v>18</v>
      </c>
      <c r="C19" t="s">
        <v>15</v>
      </c>
      <c r="D19">
        <v>2749049</v>
      </c>
      <c r="E19">
        <v>94284866.140000001</v>
      </c>
      <c r="F19">
        <v>-45747396.810000002</v>
      </c>
      <c r="G19">
        <v>-48.52</v>
      </c>
      <c r="H19" t="str">
        <f t="shared" si="0"/>
        <v>1998|Store|Shoes</v>
      </c>
    </row>
    <row r="20" spans="1:8" x14ac:dyDescent="0.2">
      <c r="A20">
        <v>1998</v>
      </c>
      <c r="B20" t="s">
        <v>18</v>
      </c>
      <c r="C20" t="s">
        <v>16</v>
      </c>
      <c r="D20">
        <v>2572771</v>
      </c>
      <c r="E20">
        <v>88799181</v>
      </c>
      <c r="F20">
        <v>-42145051.869999997</v>
      </c>
      <c r="G20">
        <v>-47.46</v>
      </c>
      <c r="H20" t="str">
        <f t="shared" si="0"/>
        <v>1998|Store|Sports</v>
      </c>
    </row>
    <row r="21" spans="1:8" x14ac:dyDescent="0.2">
      <c r="A21">
        <v>1998</v>
      </c>
      <c r="B21" t="s">
        <v>18</v>
      </c>
      <c r="C21" t="s">
        <v>17</v>
      </c>
      <c r="D21">
        <v>2426663</v>
      </c>
      <c r="E21">
        <v>83565040.810000002</v>
      </c>
      <c r="F21">
        <v>-40380861.850000001</v>
      </c>
      <c r="G21">
        <v>-48.32</v>
      </c>
      <c r="H21" t="str">
        <f t="shared" si="0"/>
        <v>1998|Store|Women</v>
      </c>
    </row>
    <row r="22" spans="1:8" x14ac:dyDescent="0.2">
      <c r="A22">
        <v>1998</v>
      </c>
      <c r="B22" t="s">
        <v>19</v>
      </c>
      <c r="C22" t="s">
        <v>8</v>
      </c>
      <c r="D22">
        <v>733025</v>
      </c>
      <c r="E22">
        <v>33883760.950000003</v>
      </c>
      <c r="F22">
        <v>-3384642.11</v>
      </c>
      <c r="G22">
        <v>-9.99</v>
      </c>
      <c r="H22" t="str">
        <f t="shared" si="0"/>
        <v>1998|Web|Books</v>
      </c>
    </row>
    <row r="23" spans="1:8" x14ac:dyDescent="0.2">
      <c r="A23">
        <v>1998</v>
      </c>
      <c r="B23" t="s">
        <v>19</v>
      </c>
      <c r="C23" t="s">
        <v>9</v>
      </c>
      <c r="D23">
        <v>715508</v>
      </c>
      <c r="E23">
        <v>32931097.039999999</v>
      </c>
      <c r="F23">
        <v>-3580627.05</v>
      </c>
      <c r="G23">
        <v>-10.87</v>
      </c>
      <c r="H23" t="str">
        <f t="shared" si="0"/>
        <v>1998|Web|Children</v>
      </c>
    </row>
    <row r="24" spans="1:8" x14ac:dyDescent="0.2">
      <c r="A24">
        <v>1998</v>
      </c>
      <c r="B24" t="s">
        <v>19</v>
      </c>
      <c r="C24" t="s">
        <v>10</v>
      </c>
      <c r="D24">
        <v>734328</v>
      </c>
      <c r="E24">
        <v>33228758.960000001</v>
      </c>
      <c r="F24">
        <v>-4211110.66</v>
      </c>
      <c r="G24">
        <v>-12.67</v>
      </c>
      <c r="H24" t="str">
        <f t="shared" si="0"/>
        <v>1998|Web|Electronics</v>
      </c>
    </row>
    <row r="25" spans="1:8" x14ac:dyDescent="0.2">
      <c r="A25">
        <v>1998</v>
      </c>
      <c r="B25" t="s">
        <v>19</v>
      </c>
      <c r="C25" t="s">
        <v>11</v>
      </c>
      <c r="D25">
        <v>744691</v>
      </c>
      <c r="E25">
        <v>34189907.090000004</v>
      </c>
      <c r="F25">
        <v>-3542205.26</v>
      </c>
      <c r="G25">
        <v>-10.36</v>
      </c>
      <c r="H25" t="str">
        <f t="shared" si="0"/>
        <v>1998|Web|Home</v>
      </c>
    </row>
    <row r="26" spans="1:8" x14ac:dyDescent="0.2">
      <c r="A26">
        <v>1998</v>
      </c>
      <c r="B26" t="s">
        <v>19</v>
      </c>
      <c r="C26" t="s">
        <v>12</v>
      </c>
      <c r="D26">
        <v>722478</v>
      </c>
      <c r="E26">
        <v>32354970.550000001</v>
      </c>
      <c r="F26">
        <v>-3801962.19</v>
      </c>
      <c r="G26">
        <v>-11.75</v>
      </c>
      <c r="H26" t="str">
        <f t="shared" si="0"/>
        <v>1998|Web|Jewelry</v>
      </c>
    </row>
    <row r="27" spans="1:8" x14ac:dyDescent="0.2">
      <c r="A27">
        <v>1998</v>
      </c>
      <c r="B27" t="s">
        <v>19</v>
      </c>
      <c r="C27" t="s">
        <v>13</v>
      </c>
      <c r="D27">
        <v>778098</v>
      </c>
      <c r="E27">
        <v>35872561.43</v>
      </c>
      <c r="F27">
        <v>-3595970.01</v>
      </c>
      <c r="G27">
        <v>-10.02</v>
      </c>
      <c r="H27" t="str">
        <f t="shared" si="0"/>
        <v>1998|Web|Men</v>
      </c>
    </row>
    <row r="28" spans="1:8" x14ac:dyDescent="0.2">
      <c r="A28">
        <v>1998</v>
      </c>
      <c r="B28" t="s">
        <v>19</v>
      </c>
      <c r="C28" t="s">
        <v>14</v>
      </c>
      <c r="D28">
        <v>701919</v>
      </c>
      <c r="E28">
        <v>31692440.859999999</v>
      </c>
      <c r="F28">
        <v>-3943207.1</v>
      </c>
      <c r="G28">
        <v>-12.44</v>
      </c>
      <c r="H28" t="str">
        <f t="shared" si="0"/>
        <v>1998|Web|Music</v>
      </c>
    </row>
    <row r="29" spans="1:8" x14ac:dyDescent="0.2">
      <c r="A29">
        <v>1998</v>
      </c>
      <c r="B29" t="s">
        <v>19</v>
      </c>
      <c r="C29" t="s">
        <v>15</v>
      </c>
      <c r="D29">
        <v>740817</v>
      </c>
      <c r="E29">
        <v>33299364.359999999</v>
      </c>
      <c r="F29">
        <v>-3906470.78</v>
      </c>
      <c r="G29">
        <v>-11.73</v>
      </c>
      <c r="H29" t="str">
        <f t="shared" si="0"/>
        <v>1998|Web|Shoes</v>
      </c>
    </row>
    <row r="30" spans="1:8" x14ac:dyDescent="0.2">
      <c r="A30">
        <v>1998</v>
      </c>
      <c r="B30" t="s">
        <v>19</v>
      </c>
      <c r="C30" t="s">
        <v>16</v>
      </c>
      <c r="D30">
        <v>694171</v>
      </c>
      <c r="E30">
        <v>31567222.449999999</v>
      </c>
      <c r="F30">
        <v>-3585910.95</v>
      </c>
      <c r="G30">
        <v>-11.36</v>
      </c>
      <c r="H30" t="str">
        <f t="shared" si="0"/>
        <v>1998|Web|Sports</v>
      </c>
    </row>
    <row r="31" spans="1:8" x14ac:dyDescent="0.2">
      <c r="A31">
        <v>1998</v>
      </c>
      <c r="B31" t="s">
        <v>19</v>
      </c>
      <c r="C31" t="s">
        <v>17</v>
      </c>
      <c r="D31">
        <v>667782</v>
      </c>
      <c r="E31">
        <v>30377096.890000001</v>
      </c>
      <c r="F31">
        <v>-3537906.05</v>
      </c>
      <c r="G31">
        <v>-11.65</v>
      </c>
      <c r="H31" t="str">
        <f t="shared" si="0"/>
        <v>1998|Web|Women</v>
      </c>
    </row>
    <row r="32" spans="1:8" x14ac:dyDescent="0.2">
      <c r="A32">
        <v>1999</v>
      </c>
      <c r="B32" t="s">
        <v>7</v>
      </c>
      <c r="C32" t="s">
        <v>8</v>
      </c>
      <c r="D32">
        <v>1437712</v>
      </c>
      <c r="E32">
        <v>65019729.590000004</v>
      </c>
      <c r="F32">
        <v>-7833428.7699999996</v>
      </c>
      <c r="G32">
        <v>-12.05</v>
      </c>
      <c r="H32" t="str">
        <f t="shared" si="0"/>
        <v>1999|Catalog|Books</v>
      </c>
    </row>
    <row r="33" spans="1:8" x14ac:dyDescent="0.2">
      <c r="A33">
        <v>1999</v>
      </c>
      <c r="B33" t="s">
        <v>7</v>
      </c>
      <c r="C33" t="s">
        <v>9</v>
      </c>
      <c r="D33">
        <v>1451797</v>
      </c>
      <c r="E33">
        <v>65932338.07</v>
      </c>
      <c r="F33">
        <v>-7214724.8499999996</v>
      </c>
      <c r="G33">
        <v>-10.94</v>
      </c>
      <c r="H33" t="str">
        <f t="shared" si="0"/>
        <v>1999|Catalog|Children</v>
      </c>
    </row>
    <row r="34" spans="1:8" x14ac:dyDescent="0.2">
      <c r="A34">
        <v>1999</v>
      </c>
      <c r="B34" t="s">
        <v>7</v>
      </c>
      <c r="C34" t="s">
        <v>10</v>
      </c>
      <c r="D34">
        <v>1433359</v>
      </c>
      <c r="E34">
        <v>65226527.759999998</v>
      </c>
      <c r="F34">
        <v>-7746312.9800000004</v>
      </c>
      <c r="G34">
        <v>-11.88</v>
      </c>
      <c r="H34" t="str">
        <f t="shared" si="0"/>
        <v>1999|Catalog|Electronics</v>
      </c>
    </row>
    <row r="35" spans="1:8" x14ac:dyDescent="0.2">
      <c r="A35">
        <v>1999</v>
      </c>
      <c r="B35" t="s">
        <v>7</v>
      </c>
      <c r="C35" t="s">
        <v>11</v>
      </c>
      <c r="D35">
        <v>1463913</v>
      </c>
      <c r="E35">
        <v>67524453.260000005</v>
      </c>
      <c r="F35">
        <v>-6825581.3099999996</v>
      </c>
      <c r="G35">
        <v>-10.11</v>
      </c>
      <c r="H35" t="str">
        <f t="shared" si="0"/>
        <v>1999|Catalog|Home</v>
      </c>
    </row>
    <row r="36" spans="1:8" x14ac:dyDescent="0.2">
      <c r="A36">
        <v>1999</v>
      </c>
      <c r="B36" t="s">
        <v>7</v>
      </c>
      <c r="C36" t="s">
        <v>12</v>
      </c>
      <c r="D36">
        <v>1418437</v>
      </c>
      <c r="E36">
        <v>64460117.890000001</v>
      </c>
      <c r="F36">
        <v>-7190673.5999999996</v>
      </c>
      <c r="G36">
        <v>-11.16</v>
      </c>
      <c r="H36" t="str">
        <f t="shared" si="0"/>
        <v>1999|Catalog|Jewelry</v>
      </c>
    </row>
    <row r="37" spans="1:8" x14ac:dyDescent="0.2">
      <c r="A37">
        <v>1999</v>
      </c>
      <c r="B37" t="s">
        <v>7</v>
      </c>
      <c r="C37" t="s">
        <v>13</v>
      </c>
      <c r="D37">
        <v>1502444</v>
      </c>
      <c r="E37">
        <v>68244457.879999995</v>
      </c>
      <c r="F37">
        <v>-7480004.79</v>
      </c>
      <c r="G37">
        <v>-10.96</v>
      </c>
      <c r="H37" t="str">
        <f t="shared" si="0"/>
        <v>1999|Catalog|Men</v>
      </c>
    </row>
    <row r="38" spans="1:8" x14ac:dyDescent="0.2">
      <c r="A38">
        <v>1999</v>
      </c>
      <c r="B38" t="s">
        <v>7</v>
      </c>
      <c r="C38" t="s">
        <v>14</v>
      </c>
      <c r="D38">
        <v>1411964</v>
      </c>
      <c r="E38">
        <v>63381419.060000002</v>
      </c>
      <c r="F38">
        <v>-7808350.0899999999</v>
      </c>
      <c r="G38">
        <v>-12.32</v>
      </c>
      <c r="H38" t="str">
        <f t="shared" si="0"/>
        <v>1999|Catalog|Music</v>
      </c>
    </row>
    <row r="39" spans="1:8" x14ac:dyDescent="0.2">
      <c r="A39">
        <v>1999</v>
      </c>
      <c r="B39" t="s">
        <v>7</v>
      </c>
      <c r="C39" t="s">
        <v>15</v>
      </c>
      <c r="D39">
        <v>1464042</v>
      </c>
      <c r="E39">
        <v>66469414.399999999</v>
      </c>
      <c r="F39">
        <v>-6997778.7199999997</v>
      </c>
      <c r="G39">
        <v>-10.53</v>
      </c>
      <c r="H39" t="str">
        <f t="shared" si="0"/>
        <v>1999|Catalog|Shoes</v>
      </c>
    </row>
    <row r="40" spans="1:8" x14ac:dyDescent="0.2">
      <c r="A40">
        <v>1999</v>
      </c>
      <c r="B40" t="s">
        <v>7</v>
      </c>
      <c r="C40" t="s">
        <v>16</v>
      </c>
      <c r="D40">
        <v>1383144</v>
      </c>
      <c r="E40">
        <v>62312643.799999997</v>
      </c>
      <c r="F40">
        <v>-7609001.8200000003</v>
      </c>
      <c r="G40">
        <v>-12.21</v>
      </c>
      <c r="H40" t="str">
        <f t="shared" si="0"/>
        <v>1999|Catalog|Sports</v>
      </c>
    </row>
    <row r="41" spans="1:8" x14ac:dyDescent="0.2">
      <c r="A41">
        <v>1999</v>
      </c>
      <c r="B41" t="s">
        <v>7</v>
      </c>
      <c r="C41" t="s">
        <v>17</v>
      </c>
      <c r="D41">
        <v>1306257</v>
      </c>
      <c r="E41">
        <v>59737298.759999998</v>
      </c>
      <c r="F41">
        <v>-6289356.6900000004</v>
      </c>
      <c r="G41">
        <v>-10.53</v>
      </c>
      <c r="H41" t="str">
        <f t="shared" si="0"/>
        <v>1999|Catalog|Women</v>
      </c>
    </row>
    <row r="42" spans="1:8" x14ac:dyDescent="0.2">
      <c r="A42">
        <v>1999</v>
      </c>
      <c r="B42" t="s">
        <v>18</v>
      </c>
      <c r="C42" t="s">
        <v>8</v>
      </c>
      <c r="D42">
        <v>2697830</v>
      </c>
      <c r="E42">
        <v>92305916.799999997</v>
      </c>
      <c r="F42">
        <v>-44228523.469999999</v>
      </c>
      <c r="G42">
        <v>-47.92</v>
      </c>
      <c r="H42" t="str">
        <f t="shared" si="0"/>
        <v>1999|Store|Books</v>
      </c>
    </row>
    <row r="43" spans="1:8" x14ac:dyDescent="0.2">
      <c r="A43">
        <v>1999</v>
      </c>
      <c r="B43" t="s">
        <v>18</v>
      </c>
      <c r="C43" t="s">
        <v>9</v>
      </c>
      <c r="D43">
        <v>2682109</v>
      </c>
      <c r="E43">
        <v>91739905.620000005</v>
      </c>
      <c r="F43">
        <v>-44730129.619999997</v>
      </c>
      <c r="G43">
        <v>-48.76</v>
      </c>
      <c r="H43" t="str">
        <f t="shared" si="0"/>
        <v>1999|Store|Children</v>
      </c>
    </row>
    <row r="44" spans="1:8" x14ac:dyDescent="0.2">
      <c r="A44">
        <v>1999</v>
      </c>
      <c r="B44" t="s">
        <v>18</v>
      </c>
      <c r="C44" t="s">
        <v>10</v>
      </c>
      <c r="D44">
        <v>2700523</v>
      </c>
      <c r="E44">
        <v>92855422.030000001</v>
      </c>
      <c r="F44">
        <v>-44838005.969999999</v>
      </c>
      <c r="G44">
        <v>-48.29</v>
      </c>
      <c r="H44" t="str">
        <f t="shared" si="0"/>
        <v>1999|Store|Electronics</v>
      </c>
    </row>
    <row r="45" spans="1:8" x14ac:dyDescent="0.2">
      <c r="A45">
        <v>1999</v>
      </c>
      <c r="B45" t="s">
        <v>18</v>
      </c>
      <c r="C45" t="s">
        <v>11</v>
      </c>
      <c r="D45">
        <v>2717461</v>
      </c>
      <c r="E45">
        <v>92820598.75</v>
      </c>
      <c r="F45">
        <v>-45008882.079999998</v>
      </c>
      <c r="G45">
        <v>-48.49</v>
      </c>
      <c r="H45" t="str">
        <f t="shared" si="0"/>
        <v>1999|Store|Home</v>
      </c>
    </row>
    <row r="46" spans="1:8" x14ac:dyDescent="0.2">
      <c r="A46">
        <v>1999</v>
      </c>
      <c r="B46" t="s">
        <v>18</v>
      </c>
      <c r="C46" t="s">
        <v>12</v>
      </c>
      <c r="D46">
        <v>2592450</v>
      </c>
      <c r="E46">
        <v>88103738.760000005</v>
      </c>
      <c r="F46">
        <v>-43147571.729999997</v>
      </c>
      <c r="G46">
        <v>-48.97</v>
      </c>
      <c r="H46" t="str">
        <f t="shared" si="0"/>
        <v>1999|Store|Jewelry</v>
      </c>
    </row>
    <row r="47" spans="1:8" x14ac:dyDescent="0.2">
      <c r="A47">
        <v>1999</v>
      </c>
      <c r="B47" t="s">
        <v>18</v>
      </c>
      <c r="C47" t="s">
        <v>13</v>
      </c>
      <c r="D47">
        <v>2808522</v>
      </c>
      <c r="E47">
        <v>96966641.409999996</v>
      </c>
      <c r="F47">
        <v>-46158045.450000003</v>
      </c>
      <c r="G47">
        <v>-47.6</v>
      </c>
      <c r="H47" t="str">
        <f t="shared" si="0"/>
        <v>1999|Store|Men</v>
      </c>
    </row>
    <row r="48" spans="1:8" x14ac:dyDescent="0.2">
      <c r="A48">
        <v>1999</v>
      </c>
      <c r="B48" t="s">
        <v>18</v>
      </c>
      <c r="C48" t="s">
        <v>14</v>
      </c>
      <c r="D48">
        <v>2625632</v>
      </c>
      <c r="E48">
        <v>90063763.060000002</v>
      </c>
      <c r="F48">
        <v>-43568420.460000001</v>
      </c>
      <c r="G48">
        <v>-48.38</v>
      </c>
      <c r="H48" t="str">
        <f t="shared" si="0"/>
        <v>1999|Store|Music</v>
      </c>
    </row>
    <row r="49" spans="1:8" x14ac:dyDescent="0.2">
      <c r="A49">
        <v>1999</v>
      </c>
      <c r="B49" t="s">
        <v>18</v>
      </c>
      <c r="C49" t="s">
        <v>15</v>
      </c>
      <c r="D49">
        <v>2738946</v>
      </c>
      <c r="E49">
        <v>95139756.290000007</v>
      </c>
      <c r="F49">
        <v>-44650470.079999998</v>
      </c>
      <c r="G49">
        <v>-46.93</v>
      </c>
      <c r="H49" t="str">
        <f t="shared" si="0"/>
        <v>1999|Store|Shoes</v>
      </c>
    </row>
    <row r="50" spans="1:8" x14ac:dyDescent="0.2">
      <c r="A50">
        <v>1999</v>
      </c>
      <c r="B50" t="s">
        <v>18</v>
      </c>
      <c r="C50" t="s">
        <v>16</v>
      </c>
      <c r="D50">
        <v>2596847</v>
      </c>
      <c r="E50">
        <v>89688631.629999995</v>
      </c>
      <c r="F50">
        <v>-42885231.07</v>
      </c>
      <c r="G50">
        <v>-47.82</v>
      </c>
      <c r="H50" t="str">
        <f t="shared" si="0"/>
        <v>1999|Store|Sports</v>
      </c>
    </row>
    <row r="51" spans="1:8" x14ac:dyDescent="0.2">
      <c r="A51">
        <v>1999</v>
      </c>
      <c r="B51" t="s">
        <v>18</v>
      </c>
      <c r="C51" t="s">
        <v>17</v>
      </c>
      <c r="D51">
        <v>2432674</v>
      </c>
      <c r="E51">
        <v>82963854.760000005</v>
      </c>
      <c r="F51">
        <v>-40992807.850000001</v>
      </c>
      <c r="G51">
        <v>-49.41</v>
      </c>
      <c r="H51" t="str">
        <f t="shared" si="0"/>
        <v>1999|Store|Women</v>
      </c>
    </row>
    <row r="52" spans="1:8" x14ac:dyDescent="0.2">
      <c r="A52">
        <v>1999</v>
      </c>
      <c r="B52" t="s">
        <v>19</v>
      </c>
      <c r="C52" t="s">
        <v>8</v>
      </c>
      <c r="D52">
        <v>722200</v>
      </c>
      <c r="E52">
        <v>32531968.780000001</v>
      </c>
      <c r="F52">
        <v>-4038771.39</v>
      </c>
      <c r="G52">
        <v>-12.41</v>
      </c>
      <c r="H52" t="str">
        <f t="shared" si="0"/>
        <v>1999|Web|Books</v>
      </c>
    </row>
    <row r="53" spans="1:8" x14ac:dyDescent="0.2">
      <c r="A53">
        <v>1999</v>
      </c>
      <c r="B53" t="s">
        <v>19</v>
      </c>
      <c r="C53" t="s">
        <v>9</v>
      </c>
      <c r="D53">
        <v>722857</v>
      </c>
      <c r="E53">
        <v>32647848.100000001</v>
      </c>
      <c r="F53">
        <v>-3479786.14</v>
      </c>
      <c r="G53">
        <v>-10.66</v>
      </c>
      <c r="H53" t="str">
        <f t="shared" si="0"/>
        <v>1999|Web|Children</v>
      </c>
    </row>
    <row r="54" spans="1:8" x14ac:dyDescent="0.2">
      <c r="A54">
        <v>1999</v>
      </c>
      <c r="B54" t="s">
        <v>19</v>
      </c>
      <c r="C54" t="s">
        <v>10</v>
      </c>
      <c r="D54">
        <v>724747</v>
      </c>
      <c r="E54">
        <v>33286913.559999999</v>
      </c>
      <c r="F54">
        <v>-3233731.25</v>
      </c>
      <c r="G54">
        <v>-9.7100000000000009</v>
      </c>
      <c r="H54" t="str">
        <f t="shared" si="0"/>
        <v>1999|Web|Electronics</v>
      </c>
    </row>
    <row r="55" spans="1:8" x14ac:dyDescent="0.2">
      <c r="A55">
        <v>1999</v>
      </c>
      <c r="B55" t="s">
        <v>19</v>
      </c>
      <c r="C55" t="s">
        <v>11</v>
      </c>
      <c r="D55">
        <v>733741</v>
      </c>
      <c r="E55">
        <v>33506162.34</v>
      </c>
      <c r="F55">
        <v>-3348171.29</v>
      </c>
      <c r="G55">
        <v>-9.99</v>
      </c>
      <c r="H55" t="str">
        <f t="shared" si="0"/>
        <v>1999|Web|Home</v>
      </c>
    </row>
    <row r="56" spans="1:8" x14ac:dyDescent="0.2">
      <c r="A56">
        <v>1999</v>
      </c>
      <c r="B56" t="s">
        <v>19</v>
      </c>
      <c r="C56" t="s">
        <v>12</v>
      </c>
      <c r="D56">
        <v>708836</v>
      </c>
      <c r="E56">
        <v>32040220.399999999</v>
      </c>
      <c r="F56">
        <v>-3820771.65</v>
      </c>
      <c r="G56">
        <v>-11.92</v>
      </c>
      <c r="H56" t="str">
        <f t="shared" si="0"/>
        <v>1999|Web|Jewelry</v>
      </c>
    </row>
    <row r="57" spans="1:8" x14ac:dyDescent="0.2">
      <c r="A57">
        <v>1999</v>
      </c>
      <c r="B57" t="s">
        <v>19</v>
      </c>
      <c r="C57" t="s">
        <v>13</v>
      </c>
      <c r="D57">
        <v>775864</v>
      </c>
      <c r="E57">
        <v>35450469.5</v>
      </c>
      <c r="F57">
        <v>-4205553.5599999996</v>
      </c>
      <c r="G57">
        <v>-11.86</v>
      </c>
      <c r="H57" t="str">
        <f t="shared" si="0"/>
        <v>1999|Web|Men</v>
      </c>
    </row>
    <row r="58" spans="1:8" x14ac:dyDescent="0.2">
      <c r="A58">
        <v>1999</v>
      </c>
      <c r="B58" t="s">
        <v>19</v>
      </c>
      <c r="C58" t="s">
        <v>14</v>
      </c>
      <c r="D58">
        <v>714630</v>
      </c>
      <c r="E58">
        <v>33336810.559999999</v>
      </c>
      <c r="F58">
        <v>-2880554.37</v>
      </c>
      <c r="G58">
        <v>-8.64</v>
      </c>
      <c r="H58" t="str">
        <f t="shared" si="0"/>
        <v>1999|Web|Music</v>
      </c>
    </row>
    <row r="59" spans="1:8" x14ac:dyDescent="0.2">
      <c r="A59">
        <v>1999</v>
      </c>
      <c r="B59" t="s">
        <v>19</v>
      </c>
      <c r="C59" t="s">
        <v>15</v>
      </c>
      <c r="D59">
        <v>737284</v>
      </c>
      <c r="E59">
        <v>33139281.879999999</v>
      </c>
      <c r="F59">
        <v>-4033587.56</v>
      </c>
      <c r="G59">
        <v>-12.17</v>
      </c>
      <c r="H59" t="str">
        <f t="shared" si="0"/>
        <v>1999|Web|Shoes</v>
      </c>
    </row>
    <row r="60" spans="1:8" x14ac:dyDescent="0.2">
      <c r="A60">
        <v>1999</v>
      </c>
      <c r="B60" t="s">
        <v>19</v>
      </c>
      <c r="C60" t="s">
        <v>16</v>
      </c>
      <c r="D60">
        <v>711146</v>
      </c>
      <c r="E60">
        <v>32152888.329999998</v>
      </c>
      <c r="F60">
        <v>-3643383.1</v>
      </c>
      <c r="G60">
        <v>-11.33</v>
      </c>
      <c r="H60" t="str">
        <f t="shared" si="0"/>
        <v>1999|Web|Sports</v>
      </c>
    </row>
    <row r="61" spans="1:8" x14ac:dyDescent="0.2">
      <c r="A61">
        <v>1999</v>
      </c>
      <c r="B61" t="s">
        <v>19</v>
      </c>
      <c r="C61" t="s">
        <v>17</v>
      </c>
      <c r="D61">
        <v>665009</v>
      </c>
      <c r="E61">
        <v>30517764.640000001</v>
      </c>
      <c r="F61">
        <v>-2943765.78</v>
      </c>
      <c r="G61">
        <v>-9.65</v>
      </c>
      <c r="H61" t="str">
        <f t="shared" si="0"/>
        <v>1999|Web|Women</v>
      </c>
    </row>
    <row r="62" spans="1:8" x14ac:dyDescent="0.2">
      <c r="A62">
        <v>2000</v>
      </c>
      <c r="B62" t="s">
        <v>7</v>
      </c>
      <c r="C62" t="s">
        <v>8</v>
      </c>
      <c r="D62">
        <v>1528523</v>
      </c>
      <c r="E62">
        <v>69280058.569999993</v>
      </c>
      <c r="F62">
        <v>-8166979.6200000001</v>
      </c>
      <c r="G62">
        <v>-11.79</v>
      </c>
      <c r="H62" t="str">
        <f t="shared" si="0"/>
        <v>2000|Catalog|Books</v>
      </c>
    </row>
    <row r="63" spans="1:8" x14ac:dyDescent="0.2">
      <c r="A63">
        <v>2000</v>
      </c>
      <c r="B63" t="s">
        <v>7</v>
      </c>
      <c r="C63" t="s">
        <v>9</v>
      </c>
      <c r="D63">
        <v>1460753</v>
      </c>
      <c r="E63">
        <v>66606539.799999997</v>
      </c>
      <c r="F63">
        <v>-7551472.5300000003</v>
      </c>
      <c r="G63">
        <v>-11.34</v>
      </c>
      <c r="H63" t="str">
        <f t="shared" si="0"/>
        <v>2000|Catalog|Children</v>
      </c>
    </row>
    <row r="64" spans="1:8" x14ac:dyDescent="0.2">
      <c r="A64">
        <v>2000</v>
      </c>
      <c r="B64" t="s">
        <v>7</v>
      </c>
      <c r="C64" t="s">
        <v>10</v>
      </c>
      <c r="D64">
        <v>1458952</v>
      </c>
      <c r="E64">
        <v>66536534.890000001</v>
      </c>
      <c r="F64">
        <v>-7207402.2599999998</v>
      </c>
      <c r="G64">
        <v>-10.83</v>
      </c>
      <c r="H64" t="str">
        <f t="shared" si="0"/>
        <v>2000|Catalog|Electronics</v>
      </c>
    </row>
    <row r="65" spans="1:8" x14ac:dyDescent="0.2">
      <c r="A65">
        <v>2000</v>
      </c>
      <c r="B65" t="s">
        <v>7</v>
      </c>
      <c r="C65" t="s">
        <v>11</v>
      </c>
      <c r="D65">
        <v>1471206</v>
      </c>
      <c r="E65">
        <v>66767736.359999999</v>
      </c>
      <c r="F65">
        <v>-7228089.79</v>
      </c>
      <c r="G65">
        <v>-10.83</v>
      </c>
      <c r="H65" t="str">
        <f t="shared" si="0"/>
        <v>2000|Catalog|Home</v>
      </c>
    </row>
    <row r="66" spans="1:8" x14ac:dyDescent="0.2">
      <c r="A66">
        <v>2000</v>
      </c>
      <c r="B66" t="s">
        <v>7</v>
      </c>
      <c r="C66" t="s">
        <v>12</v>
      </c>
      <c r="D66">
        <v>1323500</v>
      </c>
      <c r="E66">
        <v>59820519.640000001</v>
      </c>
      <c r="F66">
        <v>-7557709.2000000002</v>
      </c>
      <c r="G66">
        <v>-12.63</v>
      </c>
      <c r="H66" t="str">
        <f t="shared" si="0"/>
        <v>2000|Catalog|Jewelry</v>
      </c>
    </row>
    <row r="67" spans="1:8" x14ac:dyDescent="0.2">
      <c r="A67">
        <v>2000</v>
      </c>
      <c r="B67" t="s">
        <v>7</v>
      </c>
      <c r="C67" t="s">
        <v>13</v>
      </c>
      <c r="D67">
        <v>1529028</v>
      </c>
      <c r="E67">
        <v>69485264.560000002</v>
      </c>
      <c r="F67">
        <v>-7864499.7800000003</v>
      </c>
      <c r="G67">
        <v>-11.32</v>
      </c>
      <c r="H67" t="str">
        <f t="shared" ref="H67:H130" si="1">A67&amp;"|"&amp;B67&amp;"|"&amp;C67</f>
        <v>2000|Catalog|Men</v>
      </c>
    </row>
    <row r="68" spans="1:8" x14ac:dyDescent="0.2">
      <c r="A68">
        <v>2000</v>
      </c>
      <c r="B68" t="s">
        <v>7</v>
      </c>
      <c r="C68" t="s">
        <v>14</v>
      </c>
      <c r="D68">
        <v>1423921</v>
      </c>
      <c r="E68">
        <v>63978565.109999999</v>
      </c>
      <c r="F68">
        <v>-8043636.5300000003</v>
      </c>
      <c r="G68">
        <v>-12.57</v>
      </c>
      <c r="H68" t="str">
        <f t="shared" si="1"/>
        <v>2000|Catalog|Music</v>
      </c>
    </row>
    <row r="69" spans="1:8" x14ac:dyDescent="0.2">
      <c r="A69">
        <v>2000</v>
      </c>
      <c r="B69" t="s">
        <v>7</v>
      </c>
      <c r="C69" t="s">
        <v>15</v>
      </c>
      <c r="D69">
        <v>1449017</v>
      </c>
      <c r="E69">
        <v>65768005.520000003</v>
      </c>
      <c r="F69">
        <v>-7137509.2699999996</v>
      </c>
      <c r="G69">
        <v>-10.85</v>
      </c>
      <c r="H69" t="str">
        <f t="shared" si="1"/>
        <v>2000|Catalog|Shoes</v>
      </c>
    </row>
    <row r="70" spans="1:8" x14ac:dyDescent="0.2">
      <c r="A70">
        <v>2000</v>
      </c>
      <c r="B70" t="s">
        <v>7</v>
      </c>
      <c r="C70" t="s">
        <v>16</v>
      </c>
      <c r="D70">
        <v>1384532</v>
      </c>
      <c r="E70">
        <v>63907328.439999998</v>
      </c>
      <c r="F70">
        <v>-6609822.9400000004</v>
      </c>
      <c r="G70">
        <v>-10.34</v>
      </c>
      <c r="H70" t="str">
        <f t="shared" si="1"/>
        <v>2000|Catalog|Sports</v>
      </c>
    </row>
    <row r="71" spans="1:8" x14ac:dyDescent="0.2">
      <c r="A71">
        <v>2000</v>
      </c>
      <c r="B71" t="s">
        <v>7</v>
      </c>
      <c r="C71" t="s">
        <v>17</v>
      </c>
      <c r="D71">
        <v>1336226</v>
      </c>
      <c r="E71">
        <v>60271199.189999998</v>
      </c>
      <c r="F71">
        <v>-7062361.4299999997</v>
      </c>
      <c r="G71">
        <v>-11.72</v>
      </c>
      <c r="H71" t="str">
        <f t="shared" si="1"/>
        <v>2000|Catalog|Women</v>
      </c>
    </row>
    <row r="72" spans="1:8" x14ac:dyDescent="0.2">
      <c r="A72">
        <v>2000</v>
      </c>
      <c r="B72" t="s">
        <v>18</v>
      </c>
      <c r="C72" t="s">
        <v>8</v>
      </c>
      <c r="D72">
        <v>2820825</v>
      </c>
      <c r="E72">
        <v>97579549.890000001</v>
      </c>
      <c r="F72">
        <v>-46131703.539999999</v>
      </c>
      <c r="G72">
        <v>-47.28</v>
      </c>
      <c r="H72" t="str">
        <f t="shared" si="1"/>
        <v>2000|Store|Books</v>
      </c>
    </row>
    <row r="73" spans="1:8" x14ac:dyDescent="0.2">
      <c r="A73">
        <v>2000</v>
      </c>
      <c r="B73" t="s">
        <v>18</v>
      </c>
      <c r="C73" t="s">
        <v>9</v>
      </c>
      <c r="D73">
        <v>2743525</v>
      </c>
      <c r="E73">
        <v>93603239.290000007</v>
      </c>
      <c r="F73">
        <v>-45711594.359999999</v>
      </c>
      <c r="G73">
        <v>-48.84</v>
      </c>
      <c r="H73" t="str">
        <f t="shared" si="1"/>
        <v>2000|Store|Children</v>
      </c>
    </row>
    <row r="74" spans="1:8" x14ac:dyDescent="0.2">
      <c r="A74">
        <v>2000</v>
      </c>
      <c r="B74" t="s">
        <v>18</v>
      </c>
      <c r="C74" t="s">
        <v>10</v>
      </c>
      <c r="D74">
        <v>2710715</v>
      </c>
      <c r="E74">
        <v>93703677.75</v>
      </c>
      <c r="F74">
        <v>-44306873.229999997</v>
      </c>
      <c r="G74">
        <v>-47.28</v>
      </c>
      <c r="H74" t="str">
        <f t="shared" si="1"/>
        <v>2000|Store|Electronics</v>
      </c>
    </row>
    <row r="75" spans="1:8" x14ac:dyDescent="0.2">
      <c r="A75">
        <v>2000</v>
      </c>
      <c r="B75" t="s">
        <v>18</v>
      </c>
      <c r="C75" t="s">
        <v>11</v>
      </c>
      <c r="D75">
        <v>2734255</v>
      </c>
      <c r="E75">
        <v>94039823.370000005</v>
      </c>
      <c r="F75">
        <v>-44840033.32</v>
      </c>
      <c r="G75">
        <v>-47.68</v>
      </c>
      <c r="H75" t="str">
        <f t="shared" si="1"/>
        <v>2000|Store|Home</v>
      </c>
    </row>
    <row r="76" spans="1:8" x14ac:dyDescent="0.2">
      <c r="A76">
        <v>2000</v>
      </c>
      <c r="B76" t="s">
        <v>18</v>
      </c>
      <c r="C76" t="s">
        <v>12</v>
      </c>
      <c r="D76">
        <v>2457965</v>
      </c>
      <c r="E76">
        <v>84003209.480000004</v>
      </c>
      <c r="F76">
        <v>-40440120.359999999</v>
      </c>
      <c r="G76">
        <v>-48.14</v>
      </c>
      <c r="H76" t="str">
        <f t="shared" si="1"/>
        <v>2000|Store|Jewelry</v>
      </c>
    </row>
    <row r="77" spans="1:8" x14ac:dyDescent="0.2">
      <c r="A77">
        <v>2000</v>
      </c>
      <c r="B77" t="s">
        <v>18</v>
      </c>
      <c r="C77" t="s">
        <v>13</v>
      </c>
      <c r="D77">
        <v>2825663</v>
      </c>
      <c r="E77">
        <v>97362851.700000003</v>
      </c>
      <c r="F77">
        <v>-46355545.060000002</v>
      </c>
      <c r="G77">
        <v>-47.61</v>
      </c>
      <c r="H77" t="str">
        <f t="shared" si="1"/>
        <v>2000|Store|Men</v>
      </c>
    </row>
    <row r="78" spans="1:8" x14ac:dyDescent="0.2">
      <c r="A78">
        <v>2000</v>
      </c>
      <c r="B78" t="s">
        <v>18</v>
      </c>
      <c r="C78" t="s">
        <v>14</v>
      </c>
      <c r="D78">
        <v>2645781</v>
      </c>
      <c r="E78">
        <v>90406571.159999996</v>
      </c>
      <c r="F78">
        <v>-43428553.740000002</v>
      </c>
      <c r="G78">
        <v>-48.04</v>
      </c>
      <c r="H78" t="str">
        <f t="shared" si="1"/>
        <v>2000|Store|Music</v>
      </c>
    </row>
    <row r="79" spans="1:8" x14ac:dyDescent="0.2">
      <c r="A79">
        <v>2000</v>
      </c>
      <c r="B79" t="s">
        <v>18</v>
      </c>
      <c r="C79" t="s">
        <v>15</v>
      </c>
      <c r="D79">
        <v>2652383</v>
      </c>
      <c r="E79">
        <v>90581792.739999995</v>
      </c>
      <c r="F79">
        <v>-44352185.32</v>
      </c>
      <c r="G79">
        <v>-48.96</v>
      </c>
      <c r="H79" t="str">
        <f t="shared" si="1"/>
        <v>2000|Store|Shoes</v>
      </c>
    </row>
    <row r="80" spans="1:8" x14ac:dyDescent="0.2">
      <c r="A80">
        <v>2000</v>
      </c>
      <c r="B80" t="s">
        <v>18</v>
      </c>
      <c r="C80" t="s">
        <v>16</v>
      </c>
      <c r="D80">
        <v>2559140</v>
      </c>
      <c r="E80">
        <v>87591857.819999993</v>
      </c>
      <c r="F80">
        <v>-41952701.359999999</v>
      </c>
      <c r="G80">
        <v>-47.9</v>
      </c>
      <c r="H80" t="str">
        <f t="shared" si="1"/>
        <v>2000|Store|Sports</v>
      </c>
    </row>
    <row r="81" spans="1:8" x14ac:dyDescent="0.2">
      <c r="A81">
        <v>2000</v>
      </c>
      <c r="B81" t="s">
        <v>18</v>
      </c>
      <c r="C81" t="s">
        <v>17</v>
      </c>
      <c r="D81">
        <v>2476155</v>
      </c>
      <c r="E81">
        <v>84867492.359999999</v>
      </c>
      <c r="F81">
        <v>-40379279.789999999</v>
      </c>
      <c r="G81">
        <v>-47.58</v>
      </c>
      <c r="H81" t="str">
        <f t="shared" si="1"/>
        <v>2000|Store|Women</v>
      </c>
    </row>
    <row r="82" spans="1:8" x14ac:dyDescent="0.2">
      <c r="A82">
        <v>2000</v>
      </c>
      <c r="B82" t="s">
        <v>19</v>
      </c>
      <c r="C82" t="s">
        <v>8</v>
      </c>
      <c r="D82">
        <v>762866</v>
      </c>
      <c r="E82">
        <v>35430664.909999996</v>
      </c>
      <c r="F82">
        <v>-3072668.28</v>
      </c>
      <c r="G82">
        <v>-8.67</v>
      </c>
      <c r="H82" t="str">
        <f t="shared" si="1"/>
        <v>2000|Web|Books</v>
      </c>
    </row>
    <row r="83" spans="1:8" x14ac:dyDescent="0.2">
      <c r="A83">
        <v>2000</v>
      </c>
      <c r="B83" t="s">
        <v>19</v>
      </c>
      <c r="C83" t="s">
        <v>9</v>
      </c>
      <c r="D83">
        <v>739701</v>
      </c>
      <c r="E83">
        <v>33760378.409999996</v>
      </c>
      <c r="F83">
        <v>-3683195.64</v>
      </c>
      <c r="G83">
        <v>-10.91</v>
      </c>
      <c r="H83" t="str">
        <f t="shared" si="1"/>
        <v>2000|Web|Children</v>
      </c>
    </row>
    <row r="84" spans="1:8" x14ac:dyDescent="0.2">
      <c r="A84">
        <v>2000</v>
      </c>
      <c r="B84" t="s">
        <v>19</v>
      </c>
      <c r="C84" t="s">
        <v>10</v>
      </c>
      <c r="D84">
        <v>737043</v>
      </c>
      <c r="E84">
        <v>33243530.170000002</v>
      </c>
      <c r="F84">
        <v>-3773104.96</v>
      </c>
      <c r="G84">
        <v>-11.35</v>
      </c>
      <c r="H84" t="str">
        <f t="shared" si="1"/>
        <v>2000|Web|Electronics</v>
      </c>
    </row>
    <row r="85" spans="1:8" x14ac:dyDescent="0.2">
      <c r="A85">
        <v>2000</v>
      </c>
      <c r="B85" t="s">
        <v>19</v>
      </c>
      <c r="C85" t="s">
        <v>11</v>
      </c>
      <c r="D85">
        <v>737196</v>
      </c>
      <c r="E85">
        <v>33145164.93</v>
      </c>
      <c r="F85">
        <v>-4080511.48</v>
      </c>
      <c r="G85">
        <v>-12.31</v>
      </c>
      <c r="H85" t="str">
        <f t="shared" si="1"/>
        <v>2000|Web|Home</v>
      </c>
    </row>
    <row r="86" spans="1:8" x14ac:dyDescent="0.2">
      <c r="A86">
        <v>2000</v>
      </c>
      <c r="B86" t="s">
        <v>19</v>
      </c>
      <c r="C86" t="s">
        <v>12</v>
      </c>
      <c r="D86">
        <v>663052</v>
      </c>
      <c r="E86">
        <v>30076030.73</v>
      </c>
      <c r="F86">
        <v>-3593151.15</v>
      </c>
      <c r="G86">
        <v>-11.95</v>
      </c>
      <c r="H86" t="str">
        <f t="shared" si="1"/>
        <v>2000|Web|Jewelry</v>
      </c>
    </row>
    <row r="87" spans="1:8" x14ac:dyDescent="0.2">
      <c r="A87">
        <v>2000</v>
      </c>
      <c r="B87" t="s">
        <v>19</v>
      </c>
      <c r="C87" t="s">
        <v>13</v>
      </c>
      <c r="D87">
        <v>763234</v>
      </c>
      <c r="E87">
        <v>34918777.340000004</v>
      </c>
      <c r="F87">
        <v>-3775185.37</v>
      </c>
      <c r="G87">
        <v>-10.81</v>
      </c>
      <c r="H87" t="str">
        <f t="shared" si="1"/>
        <v>2000|Web|Men</v>
      </c>
    </row>
    <row r="88" spans="1:8" x14ac:dyDescent="0.2">
      <c r="A88">
        <v>2000</v>
      </c>
      <c r="B88" t="s">
        <v>19</v>
      </c>
      <c r="C88" t="s">
        <v>14</v>
      </c>
      <c r="D88">
        <v>712665</v>
      </c>
      <c r="E88">
        <v>32285995.120000001</v>
      </c>
      <c r="F88">
        <v>-3645487.5</v>
      </c>
      <c r="G88">
        <v>-11.29</v>
      </c>
      <c r="H88" t="str">
        <f t="shared" si="1"/>
        <v>2000|Web|Music</v>
      </c>
    </row>
    <row r="89" spans="1:8" x14ac:dyDescent="0.2">
      <c r="A89">
        <v>2000</v>
      </c>
      <c r="B89" t="s">
        <v>19</v>
      </c>
      <c r="C89" t="s">
        <v>15</v>
      </c>
      <c r="D89">
        <v>726529</v>
      </c>
      <c r="E89">
        <v>32756827.420000002</v>
      </c>
      <c r="F89">
        <v>-3727363.97</v>
      </c>
      <c r="G89">
        <v>-11.38</v>
      </c>
      <c r="H89" t="str">
        <f t="shared" si="1"/>
        <v>2000|Web|Shoes</v>
      </c>
    </row>
    <row r="90" spans="1:8" x14ac:dyDescent="0.2">
      <c r="A90">
        <v>2000</v>
      </c>
      <c r="B90" t="s">
        <v>19</v>
      </c>
      <c r="C90" t="s">
        <v>16</v>
      </c>
      <c r="D90">
        <v>695666</v>
      </c>
      <c r="E90">
        <v>31712254.780000001</v>
      </c>
      <c r="F90">
        <v>-3695208.41</v>
      </c>
      <c r="G90">
        <v>-11.65</v>
      </c>
      <c r="H90" t="str">
        <f t="shared" si="1"/>
        <v>2000|Web|Sports</v>
      </c>
    </row>
    <row r="91" spans="1:8" x14ac:dyDescent="0.2">
      <c r="A91">
        <v>2000</v>
      </c>
      <c r="B91" t="s">
        <v>19</v>
      </c>
      <c r="C91" t="s">
        <v>17</v>
      </c>
      <c r="D91">
        <v>669221</v>
      </c>
      <c r="E91">
        <v>30795989.18</v>
      </c>
      <c r="F91">
        <v>-2985662.43</v>
      </c>
      <c r="G91">
        <v>-9.69</v>
      </c>
      <c r="H91" t="str">
        <f t="shared" si="1"/>
        <v>2000|Web|Women</v>
      </c>
    </row>
    <row r="92" spans="1:8" x14ac:dyDescent="0.2">
      <c r="A92">
        <v>2001</v>
      </c>
      <c r="B92" t="s">
        <v>7</v>
      </c>
      <c r="C92" t="s">
        <v>8</v>
      </c>
      <c r="D92">
        <v>1563000</v>
      </c>
      <c r="E92">
        <v>70077756.040000007</v>
      </c>
      <c r="F92">
        <v>-8669641.9800000004</v>
      </c>
      <c r="G92">
        <v>-12.37</v>
      </c>
      <c r="H92" t="str">
        <f t="shared" si="1"/>
        <v>2001|Catalog|Books</v>
      </c>
    </row>
    <row r="93" spans="1:8" x14ac:dyDescent="0.2">
      <c r="A93">
        <v>2001</v>
      </c>
      <c r="B93" t="s">
        <v>7</v>
      </c>
      <c r="C93" t="s">
        <v>9</v>
      </c>
      <c r="D93">
        <v>1481005</v>
      </c>
      <c r="E93">
        <v>67017486.670000002</v>
      </c>
      <c r="F93">
        <v>-8250576.5899999999</v>
      </c>
      <c r="G93">
        <v>-12.31</v>
      </c>
      <c r="H93" t="str">
        <f t="shared" si="1"/>
        <v>2001|Catalog|Children</v>
      </c>
    </row>
    <row r="94" spans="1:8" x14ac:dyDescent="0.2">
      <c r="A94">
        <v>2001</v>
      </c>
      <c r="B94" t="s">
        <v>7</v>
      </c>
      <c r="C94" t="s">
        <v>10</v>
      </c>
      <c r="D94">
        <v>1484370</v>
      </c>
      <c r="E94">
        <v>67390761.5</v>
      </c>
      <c r="F94">
        <v>-7801084.7999999998</v>
      </c>
      <c r="G94">
        <v>-11.58</v>
      </c>
      <c r="H94" t="str">
        <f t="shared" si="1"/>
        <v>2001|Catalog|Electronics</v>
      </c>
    </row>
    <row r="95" spans="1:8" x14ac:dyDescent="0.2">
      <c r="A95">
        <v>2001</v>
      </c>
      <c r="B95" t="s">
        <v>7</v>
      </c>
      <c r="C95" t="s">
        <v>11</v>
      </c>
      <c r="D95">
        <v>1488599</v>
      </c>
      <c r="E95">
        <v>67559108.340000004</v>
      </c>
      <c r="F95">
        <v>-7556018.3799999999</v>
      </c>
      <c r="G95">
        <v>-11.18</v>
      </c>
      <c r="H95" t="str">
        <f t="shared" si="1"/>
        <v>2001|Catalog|Home</v>
      </c>
    </row>
    <row r="96" spans="1:8" x14ac:dyDescent="0.2">
      <c r="A96">
        <v>2001</v>
      </c>
      <c r="B96" t="s">
        <v>7</v>
      </c>
      <c r="C96" t="s">
        <v>12</v>
      </c>
      <c r="D96">
        <v>1331883</v>
      </c>
      <c r="E96">
        <v>60794480.890000001</v>
      </c>
      <c r="F96">
        <v>-6744551.75</v>
      </c>
      <c r="G96">
        <v>-11.09</v>
      </c>
      <c r="H96" t="str">
        <f t="shared" si="1"/>
        <v>2001|Catalog|Jewelry</v>
      </c>
    </row>
    <row r="97" spans="1:8" x14ac:dyDescent="0.2">
      <c r="A97">
        <v>2001</v>
      </c>
      <c r="B97" t="s">
        <v>7</v>
      </c>
      <c r="C97" t="s">
        <v>13</v>
      </c>
      <c r="D97">
        <v>1517342</v>
      </c>
      <c r="E97">
        <v>68836377.810000002</v>
      </c>
      <c r="F97">
        <v>-7503798.7999999998</v>
      </c>
      <c r="G97">
        <v>-10.9</v>
      </c>
      <c r="H97" t="str">
        <f t="shared" si="1"/>
        <v>2001|Catalog|Men</v>
      </c>
    </row>
    <row r="98" spans="1:8" x14ac:dyDescent="0.2">
      <c r="A98">
        <v>2001</v>
      </c>
      <c r="B98" t="s">
        <v>7</v>
      </c>
      <c r="C98" t="s">
        <v>14</v>
      </c>
      <c r="D98">
        <v>1402140</v>
      </c>
      <c r="E98">
        <v>63599558.469999999</v>
      </c>
      <c r="F98">
        <v>-7400836.9100000001</v>
      </c>
      <c r="G98">
        <v>-11.64</v>
      </c>
      <c r="H98" t="str">
        <f t="shared" si="1"/>
        <v>2001|Catalog|Music</v>
      </c>
    </row>
    <row r="99" spans="1:8" x14ac:dyDescent="0.2">
      <c r="A99">
        <v>2001</v>
      </c>
      <c r="B99" t="s">
        <v>7</v>
      </c>
      <c r="C99" t="s">
        <v>15</v>
      </c>
      <c r="D99">
        <v>1356377</v>
      </c>
      <c r="E99">
        <v>61479237.299999997</v>
      </c>
      <c r="F99">
        <v>-6838311.5499999998</v>
      </c>
      <c r="G99">
        <v>-11.12</v>
      </c>
      <c r="H99" t="str">
        <f t="shared" si="1"/>
        <v>2001|Catalog|Shoes</v>
      </c>
    </row>
    <row r="100" spans="1:8" x14ac:dyDescent="0.2">
      <c r="A100">
        <v>2001</v>
      </c>
      <c r="B100" t="s">
        <v>7</v>
      </c>
      <c r="C100" t="s">
        <v>16</v>
      </c>
      <c r="D100">
        <v>1336492</v>
      </c>
      <c r="E100">
        <v>61493841.670000002</v>
      </c>
      <c r="F100">
        <v>-6540490.6900000004</v>
      </c>
      <c r="G100">
        <v>-10.64</v>
      </c>
      <c r="H100" t="str">
        <f t="shared" si="1"/>
        <v>2001|Catalog|Sports</v>
      </c>
    </row>
    <row r="101" spans="1:8" x14ac:dyDescent="0.2">
      <c r="A101">
        <v>2001</v>
      </c>
      <c r="B101" t="s">
        <v>7</v>
      </c>
      <c r="C101" t="s">
        <v>17</v>
      </c>
      <c r="D101">
        <v>1382597</v>
      </c>
      <c r="E101">
        <v>62585416.789999999</v>
      </c>
      <c r="F101">
        <v>-7328042.29</v>
      </c>
      <c r="G101">
        <v>-11.71</v>
      </c>
      <c r="H101" t="str">
        <f t="shared" si="1"/>
        <v>2001|Catalog|Women</v>
      </c>
    </row>
    <row r="102" spans="1:8" x14ac:dyDescent="0.2">
      <c r="A102">
        <v>2001</v>
      </c>
      <c r="B102" t="s">
        <v>18</v>
      </c>
      <c r="C102" t="s">
        <v>8</v>
      </c>
      <c r="D102">
        <v>2857953</v>
      </c>
      <c r="E102">
        <v>98682598.859999999</v>
      </c>
      <c r="F102">
        <v>-46661875.920000002</v>
      </c>
      <c r="G102">
        <v>-47.28</v>
      </c>
      <c r="H102" t="str">
        <f t="shared" si="1"/>
        <v>2001|Store|Books</v>
      </c>
    </row>
    <row r="103" spans="1:8" x14ac:dyDescent="0.2">
      <c r="A103">
        <v>2001</v>
      </c>
      <c r="B103" t="s">
        <v>18</v>
      </c>
      <c r="C103" t="s">
        <v>9</v>
      </c>
      <c r="D103">
        <v>2690553</v>
      </c>
      <c r="E103">
        <v>91784538.620000005</v>
      </c>
      <c r="F103">
        <v>-44738990.789999999</v>
      </c>
      <c r="G103">
        <v>-48.74</v>
      </c>
      <c r="H103" t="str">
        <f t="shared" si="1"/>
        <v>2001|Store|Children</v>
      </c>
    </row>
    <row r="104" spans="1:8" x14ac:dyDescent="0.2">
      <c r="A104">
        <v>2001</v>
      </c>
      <c r="B104" t="s">
        <v>18</v>
      </c>
      <c r="C104" t="s">
        <v>10</v>
      </c>
      <c r="D104">
        <v>2740354</v>
      </c>
      <c r="E104">
        <v>93638997.180000007</v>
      </c>
      <c r="F104">
        <v>-45193488.770000003</v>
      </c>
      <c r="G104">
        <v>-48.26</v>
      </c>
      <c r="H104" t="str">
        <f t="shared" si="1"/>
        <v>2001|Store|Electronics</v>
      </c>
    </row>
    <row r="105" spans="1:8" x14ac:dyDescent="0.2">
      <c r="A105">
        <v>2001</v>
      </c>
      <c r="B105" t="s">
        <v>18</v>
      </c>
      <c r="C105" t="s">
        <v>11</v>
      </c>
      <c r="D105">
        <v>2742045</v>
      </c>
      <c r="E105">
        <v>93558705.049999997</v>
      </c>
      <c r="F105">
        <v>-45746903</v>
      </c>
      <c r="G105">
        <v>-48.9</v>
      </c>
      <c r="H105" t="str">
        <f t="shared" si="1"/>
        <v>2001|Store|Home</v>
      </c>
    </row>
    <row r="106" spans="1:8" x14ac:dyDescent="0.2">
      <c r="A106">
        <v>2001</v>
      </c>
      <c r="B106" t="s">
        <v>18</v>
      </c>
      <c r="C106" t="s">
        <v>12</v>
      </c>
      <c r="D106">
        <v>2511018</v>
      </c>
      <c r="E106">
        <v>86716249.849999994</v>
      </c>
      <c r="F106">
        <v>-40809264.229999997</v>
      </c>
      <c r="G106">
        <v>-47.06</v>
      </c>
      <c r="H106" t="str">
        <f t="shared" si="1"/>
        <v>2001|Store|Jewelry</v>
      </c>
    </row>
    <row r="107" spans="1:8" x14ac:dyDescent="0.2">
      <c r="A107">
        <v>2001</v>
      </c>
      <c r="B107" t="s">
        <v>18</v>
      </c>
      <c r="C107" t="s">
        <v>13</v>
      </c>
      <c r="D107">
        <v>2781474</v>
      </c>
      <c r="E107">
        <v>95733943.760000005</v>
      </c>
      <c r="F107">
        <v>-45818330.560000002</v>
      </c>
      <c r="G107">
        <v>-47.86</v>
      </c>
      <c r="H107" t="str">
        <f t="shared" si="1"/>
        <v>2001|Store|Men</v>
      </c>
    </row>
    <row r="108" spans="1:8" x14ac:dyDescent="0.2">
      <c r="A108">
        <v>2001</v>
      </c>
      <c r="B108" t="s">
        <v>18</v>
      </c>
      <c r="C108" t="s">
        <v>14</v>
      </c>
      <c r="D108">
        <v>2558623</v>
      </c>
      <c r="E108">
        <v>88100714.420000002</v>
      </c>
      <c r="F108">
        <v>-42931578.130000003</v>
      </c>
      <c r="G108">
        <v>-48.73</v>
      </c>
      <c r="H108" t="str">
        <f t="shared" si="1"/>
        <v>2001|Store|Music</v>
      </c>
    </row>
    <row r="109" spans="1:8" x14ac:dyDescent="0.2">
      <c r="A109">
        <v>2001</v>
      </c>
      <c r="B109" t="s">
        <v>18</v>
      </c>
      <c r="C109" t="s">
        <v>15</v>
      </c>
      <c r="D109">
        <v>2500714</v>
      </c>
      <c r="E109">
        <v>85524880.930000007</v>
      </c>
      <c r="F109">
        <v>-41442357.710000001</v>
      </c>
      <c r="G109">
        <v>-48.46</v>
      </c>
      <c r="H109" t="str">
        <f t="shared" si="1"/>
        <v>2001|Store|Shoes</v>
      </c>
    </row>
    <row r="110" spans="1:8" x14ac:dyDescent="0.2">
      <c r="A110">
        <v>2001</v>
      </c>
      <c r="B110" t="s">
        <v>18</v>
      </c>
      <c r="C110" t="s">
        <v>16</v>
      </c>
      <c r="D110">
        <v>2460573</v>
      </c>
      <c r="E110">
        <v>83889160.719999999</v>
      </c>
      <c r="F110">
        <v>-40512604.890000001</v>
      </c>
      <c r="G110">
        <v>-48.29</v>
      </c>
      <c r="H110" t="str">
        <f t="shared" si="1"/>
        <v>2001|Store|Sports</v>
      </c>
    </row>
    <row r="111" spans="1:8" x14ac:dyDescent="0.2">
      <c r="A111">
        <v>2001</v>
      </c>
      <c r="B111" t="s">
        <v>18</v>
      </c>
      <c r="C111" t="s">
        <v>17</v>
      </c>
      <c r="D111">
        <v>2484081</v>
      </c>
      <c r="E111">
        <v>85042951.030000001</v>
      </c>
      <c r="F111">
        <v>-40924248.810000002</v>
      </c>
      <c r="G111">
        <v>-48.12</v>
      </c>
      <c r="H111" t="str">
        <f t="shared" si="1"/>
        <v>2001|Store|Women</v>
      </c>
    </row>
    <row r="112" spans="1:8" x14ac:dyDescent="0.2">
      <c r="A112">
        <v>2001</v>
      </c>
      <c r="B112" t="s">
        <v>19</v>
      </c>
      <c r="C112" t="s">
        <v>8</v>
      </c>
      <c r="D112">
        <v>791562</v>
      </c>
      <c r="E112">
        <v>35765359.170000002</v>
      </c>
      <c r="F112">
        <v>-4149437.06</v>
      </c>
      <c r="G112">
        <v>-11.6</v>
      </c>
      <c r="H112" t="str">
        <f t="shared" si="1"/>
        <v>2001|Web|Books</v>
      </c>
    </row>
    <row r="113" spans="1:8" x14ac:dyDescent="0.2">
      <c r="A113">
        <v>2001</v>
      </c>
      <c r="B113" t="s">
        <v>19</v>
      </c>
      <c r="C113" t="s">
        <v>9</v>
      </c>
      <c r="D113">
        <v>736554</v>
      </c>
      <c r="E113">
        <v>34185638.039999999</v>
      </c>
      <c r="F113">
        <v>-3032229.62</v>
      </c>
      <c r="G113">
        <v>-8.8699999999999992</v>
      </c>
      <c r="H113" t="str">
        <f t="shared" si="1"/>
        <v>2001|Web|Children</v>
      </c>
    </row>
    <row r="114" spans="1:8" x14ac:dyDescent="0.2">
      <c r="A114">
        <v>2001</v>
      </c>
      <c r="B114" t="s">
        <v>19</v>
      </c>
      <c r="C114" t="s">
        <v>10</v>
      </c>
      <c r="D114">
        <v>747543</v>
      </c>
      <c r="E114">
        <v>33632557.649999999</v>
      </c>
      <c r="F114">
        <v>-4000868.4</v>
      </c>
      <c r="G114">
        <v>-11.9</v>
      </c>
      <c r="H114" t="str">
        <f t="shared" si="1"/>
        <v>2001|Web|Electronics</v>
      </c>
    </row>
    <row r="115" spans="1:8" x14ac:dyDescent="0.2">
      <c r="A115">
        <v>2001</v>
      </c>
      <c r="B115" t="s">
        <v>19</v>
      </c>
      <c r="C115" t="s">
        <v>11</v>
      </c>
      <c r="D115">
        <v>752160</v>
      </c>
      <c r="E115">
        <v>34299263.289999999</v>
      </c>
      <c r="F115">
        <v>-3819780.2</v>
      </c>
      <c r="G115">
        <v>-11.14</v>
      </c>
      <c r="H115" t="str">
        <f t="shared" si="1"/>
        <v>2001|Web|Home</v>
      </c>
    </row>
    <row r="116" spans="1:8" x14ac:dyDescent="0.2">
      <c r="A116">
        <v>2001</v>
      </c>
      <c r="B116" t="s">
        <v>19</v>
      </c>
      <c r="C116" t="s">
        <v>12</v>
      </c>
      <c r="D116">
        <v>689235</v>
      </c>
      <c r="E116">
        <v>30893463.640000001</v>
      </c>
      <c r="F116">
        <v>-3958843.46</v>
      </c>
      <c r="G116">
        <v>-12.81</v>
      </c>
      <c r="H116" t="str">
        <f t="shared" si="1"/>
        <v>2001|Web|Jewelry</v>
      </c>
    </row>
    <row r="117" spans="1:8" x14ac:dyDescent="0.2">
      <c r="A117">
        <v>2001</v>
      </c>
      <c r="B117" t="s">
        <v>19</v>
      </c>
      <c r="C117" t="s">
        <v>13</v>
      </c>
      <c r="D117">
        <v>757938</v>
      </c>
      <c r="E117">
        <v>34301963.729999997</v>
      </c>
      <c r="F117">
        <v>-3954701.86</v>
      </c>
      <c r="G117">
        <v>-11.53</v>
      </c>
      <c r="H117" t="str">
        <f t="shared" si="1"/>
        <v>2001|Web|Men</v>
      </c>
    </row>
    <row r="118" spans="1:8" x14ac:dyDescent="0.2">
      <c r="A118">
        <v>2001</v>
      </c>
      <c r="B118" t="s">
        <v>19</v>
      </c>
      <c r="C118" t="s">
        <v>14</v>
      </c>
      <c r="D118">
        <v>708526</v>
      </c>
      <c r="E118">
        <v>32679955.120000001</v>
      </c>
      <c r="F118">
        <v>-3672429.62</v>
      </c>
      <c r="G118">
        <v>-11.24</v>
      </c>
      <c r="H118" t="str">
        <f t="shared" si="1"/>
        <v>2001|Web|Music</v>
      </c>
    </row>
    <row r="119" spans="1:8" x14ac:dyDescent="0.2">
      <c r="A119">
        <v>2001</v>
      </c>
      <c r="B119" t="s">
        <v>19</v>
      </c>
      <c r="C119" t="s">
        <v>15</v>
      </c>
      <c r="D119">
        <v>690126</v>
      </c>
      <c r="E119">
        <v>30973438.420000002</v>
      </c>
      <c r="F119">
        <v>-4054484.09</v>
      </c>
      <c r="G119">
        <v>-13.09</v>
      </c>
      <c r="H119" t="str">
        <f t="shared" si="1"/>
        <v>2001|Web|Shoes</v>
      </c>
    </row>
    <row r="120" spans="1:8" x14ac:dyDescent="0.2">
      <c r="A120">
        <v>2001</v>
      </c>
      <c r="B120" t="s">
        <v>19</v>
      </c>
      <c r="C120" t="s">
        <v>16</v>
      </c>
      <c r="D120">
        <v>670064</v>
      </c>
      <c r="E120">
        <v>30492050.579999998</v>
      </c>
      <c r="F120">
        <v>-3513515</v>
      </c>
      <c r="G120">
        <v>-11.52</v>
      </c>
      <c r="H120" t="str">
        <f t="shared" si="1"/>
        <v>2001|Web|Sports</v>
      </c>
    </row>
    <row r="121" spans="1:8" x14ac:dyDescent="0.2">
      <c r="A121">
        <v>2001</v>
      </c>
      <c r="B121" t="s">
        <v>19</v>
      </c>
      <c r="C121" t="s">
        <v>17</v>
      </c>
      <c r="D121">
        <v>687303</v>
      </c>
      <c r="E121">
        <v>31276464.489999998</v>
      </c>
      <c r="F121">
        <v>-3451189.62</v>
      </c>
      <c r="G121">
        <v>-11.03</v>
      </c>
      <c r="H121" t="str">
        <f t="shared" si="1"/>
        <v>2001|Web|Women</v>
      </c>
    </row>
    <row r="122" spans="1:8" x14ac:dyDescent="0.2">
      <c r="A122">
        <v>2002</v>
      </c>
      <c r="B122" t="s">
        <v>7</v>
      </c>
      <c r="C122" t="s">
        <v>8</v>
      </c>
      <c r="D122">
        <v>1484716</v>
      </c>
      <c r="E122">
        <v>66828881.299999997</v>
      </c>
      <c r="F122">
        <v>-7616471.8799999999</v>
      </c>
      <c r="G122">
        <v>-11.4</v>
      </c>
      <c r="H122" t="str">
        <f t="shared" si="1"/>
        <v>2002|Catalog|Books</v>
      </c>
    </row>
    <row r="123" spans="1:8" x14ac:dyDescent="0.2">
      <c r="A123">
        <v>2002</v>
      </c>
      <c r="B123" t="s">
        <v>7</v>
      </c>
      <c r="C123" t="s">
        <v>9</v>
      </c>
      <c r="D123">
        <v>1428310</v>
      </c>
      <c r="E123">
        <v>65289258.609999999</v>
      </c>
      <c r="F123">
        <v>-7119691.9100000001</v>
      </c>
      <c r="G123">
        <v>-10.9</v>
      </c>
      <c r="H123" t="str">
        <f t="shared" si="1"/>
        <v>2002|Catalog|Children</v>
      </c>
    </row>
    <row r="124" spans="1:8" x14ac:dyDescent="0.2">
      <c r="A124">
        <v>2002</v>
      </c>
      <c r="B124" t="s">
        <v>7</v>
      </c>
      <c r="C124" t="s">
        <v>10</v>
      </c>
      <c r="D124">
        <v>1492305</v>
      </c>
      <c r="E124">
        <v>68524202.400000006</v>
      </c>
      <c r="F124">
        <v>-7124071.71</v>
      </c>
      <c r="G124">
        <v>-10.4</v>
      </c>
      <c r="H124" t="str">
        <f t="shared" si="1"/>
        <v>2002|Catalog|Electronics</v>
      </c>
    </row>
    <row r="125" spans="1:8" x14ac:dyDescent="0.2">
      <c r="A125">
        <v>2002</v>
      </c>
      <c r="B125" t="s">
        <v>7</v>
      </c>
      <c r="C125" t="s">
        <v>11</v>
      </c>
      <c r="D125">
        <v>1523906</v>
      </c>
      <c r="E125">
        <v>69438480.030000001</v>
      </c>
      <c r="F125">
        <v>-7666718.7699999996</v>
      </c>
      <c r="G125">
        <v>-11.04</v>
      </c>
      <c r="H125" t="str">
        <f t="shared" si="1"/>
        <v>2002|Catalog|Home</v>
      </c>
    </row>
    <row r="126" spans="1:8" x14ac:dyDescent="0.2">
      <c r="A126">
        <v>2002</v>
      </c>
      <c r="B126" t="s">
        <v>7</v>
      </c>
      <c r="C126" t="s">
        <v>12</v>
      </c>
      <c r="D126">
        <v>1353074</v>
      </c>
      <c r="E126">
        <v>62226148.520000003</v>
      </c>
      <c r="F126">
        <v>-6146275.5700000003</v>
      </c>
      <c r="G126">
        <v>-9.8800000000000008</v>
      </c>
      <c r="H126" t="str">
        <f t="shared" si="1"/>
        <v>2002|Catalog|Jewelry</v>
      </c>
    </row>
    <row r="127" spans="1:8" x14ac:dyDescent="0.2">
      <c r="A127">
        <v>2002</v>
      </c>
      <c r="B127" t="s">
        <v>7</v>
      </c>
      <c r="C127" t="s">
        <v>13</v>
      </c>
      <c r="D127">
        <v>1489101</v>
      </c>
      <c r="E127">
        <v>68261457.129999995</v>
      </c>
      <c r="F127">
        <v>-7123604.5099999998</v>
      </c>
      <c r="G127">
        <v>-10.44</v>
      </c>
      <c r="H127" t="str">
        <f t="shared" si="1"/>
        <v>2002|Catalog|Men</v>
      </c>
    </row>
    <row r="128" spans="1:8" x14ac:dyDescent="0.2">
      <c r="A128">
        <v>2002</v>
      </c>
      <c r="B128" t="s">
        <v>7</v>
      </c>
      <c r="C128" t="s">
        <v>14</v>
      </c>
      <c r="D128">
        <v>1393745</v>
      </c>
      <c r="E128">
        <v>63328752.969999999</v>
      </c>
      <c r="F128">
        <v>-7002191.7999999998</v>
      </c>
      <c r="G128">
        <v>-11.06</v>
      </c>
      <c r="H128" t="str">
        <f t="shared" si="1"/>
        <v>2002|Catalog|Music</v>
      </c>
    </row>
    <row r="129" spans="1:8" x14ac:dyDescent="0.2">
      <c r="A129">
        <v>2002</v>
      </c>
      <c r="B129" t="s">
        <v>7</v>
      </c>
      <c r="C129" t="s">
        <v>15</v>
      </c>
      <c r="D129">
        <v>1421339</v>
      </c>
      <c r="E129">
        <v>64974886.310000002</v>
      </c>
      <c r="F129">
        <v>-7170146.2300000004</v>
      </c>
      <c r="G129">
        <v>-11.04</v>
      </c>
      <c r="H129" t="str">
        <f t="shared" si="1"/>
        <v>2002|Catalog|Shoes</v>
      </c>
    </row>
    <row r="130" spans="1:8" x14ac:dyDescent="0.2">
      <c r="A130">
        <v>2002</v>
      </c>
      <c r="B130" t="s">
        <v>7</v>
      </c>
      <c r="C130" t="s">
        <v>16</v>
      </c>
      <c r="D130">
        <v>1375939</v>
      </c>
      <c r="E130">
        <v>62482056.43</v>
      </c>
      <c r="F130">
        <v>-7372324.0899999999</v>
      </c>
      <c r="G130">
        <v>-11.8</v>
      </c>
      <c r="H130" t="str">
        <f t="shared" si="1"/>
        <v>2002|Catalog|Sports</v>
      </c>
    </row>
    <row r="131" spans="1:8" x14ac:dyDescent="0.2">
      <c r="A131">
        <v>2002</v>
      </c>
      <c r="B131" t="s">
        <v>7</v>
      </c>
      <c r="C131" t="s">
        <v>17</v>
      </c>
      <c r="D131">
        <v>1389863</v>
      </c>
      <c r="E131">
        <v>63032687.299999997</v>
      </c>
      <c r="F131">
        <v>-7630276.4199999999</v>
      </c>
      <c r="G131">
        <v>-12.11</v>
      </c>
      <c r="H131" t="str">
        <f t="shared" ref="H131:H151" si="2">A131&amp;"|"&amp;B131&amp;"|"&amp;C131</f>
        <v>2002|Catalog|Women</v>
      </c>
    </row>
    <row r="132" spans="1:8" x14ac:dyDescent="0.2">
      <c r="A132">
        <v>2002</v>
      </c>
      <c r="B132" t="s">
        <v>18</v>
      </c>
      <c r="C132" t="s">
        <v>8</v>
      </c>
      <c r="D132">
        <v>2729585</v>
      </c>
      <c r="E132">
        <v>93922295.670000002</v>
      </c>
      <c r="F132">
        <v>-45145620.450000003</v>
      </c>
      <c r="G132">
        <v>-48.07</v>
      </c>
      <c r="H132" t="str">
        <f t="shared" si="2"/>
        <v>2002|Store|Books</v>
      </c>
    </row>
    <row r="133" spans="1:8" x14ac:dyDescent="0.2">
      <c r="A133">
        <v>2002</v>
      </c>
      <c r="B133" t="s">
        <v>18</v>
      </c>
      <c r="C133" t="s">
        <v>9</v>
      </c>
      <c r="D133">
        <v>2657697</v>
      </c>
      <c r="E133">
        <v>91538216.659999996</v>
      </c>
      <c r="F133">
        <v>-43705845.350000001</v>
      </c>
      <c r="G133">
        <v>-47.75</v>
      </c>
      <c r="H133" t="str">
        <f t="shared" si="2"/>
        <v>2002|Store|Children</v>
      </c>
    </row>
    <row r="134" spans="1:8" x14ac:dyDescent="0.2">
      <c r="A134">
        <v>2002</v>
      </c>
      <c r="B134" t="s">
        <v>18</v>
      </c>
      <c r="C134" t="s">
        <v>10</v>
      </c>
      <c r="D134">
        <v>2744191</v>
      </c>
      <c r="E134">
        <v>93650059.049999997</v>
      </c>
      <c r="F134">
        <v>-45764964.979999997</v>
      </c>
      <c r="G134">
        <v>-48.87</v>
      </c>
      <c r="H134" t="str">
        <f t="shared" si="2"/>
        <v>2002|Store|Electronics</v>
      </c>
    </row>
    <row r="135" spans="1:8" x14ac:dyDescent="0.2">
      <c r="A135">
        <v>2002</v>
      </c>
      <c r="B135" t="s">
        <v>18</v>
      </c>
      <c r="C135" t="s">
        <v>11</v>
      </c>
      <c r="D135">
        <v>2816621</v>
      </c>
      <c r="E135">
        <v>96480043.379999995</v>
      </c>
      <c r="F135">
        <v>-46702360.200000003</v>
      </c>
      <c r="G135">
        <v>-48.41</v>
      </c>
      <c r="H135" t="str">
        <f t="shared" si="2"/>
        <v>2002|Store|Home</v>
      </c>
    </row>
    <row r="136" spans="1:8" x14ac:dyDescent="0.2">
      <c r="A136">
        <v>2002</v>
      </c>
      <c r="B136" t="s">
        <v>18</v>
      </c>
      <c r="C136" t="s">
        <v>12</v>
      </c>
      <c r="D136">
        <v>2496087</v>
      </c>
      <c r="E136">
        <v>85589597.239999995</v>
      </c>
      <c r="F136">
        <v>-40925660.780000001</v>
      </c>
      <c r="G136">
        <v>-47.82</v>
      </c>
      <c r="H136" t="str">
        <f t="shared" si="2"/>
        <v>2002|Store|Jewelry</v>
      </c>
    </row>
    <row r="137" spans="1:8" x14ac:dyDescent="0.2">
      <c r="A137">
        <v>2002</v>
      </c>
      <c r="B137" t="s">
        <v>18</v>
      </c>
      <c r="C137" t="s">
        <v>13</v>
      </c>
      <c r="D137">
        <v>2753673</v>
      </c>
      <c r="E137">
        <v>93907854.670000002</v>
      </c>
      <c r="F137">
        <v>-45121575.689999998</v>
      </c>
      <c r="G137">
        <v>-48.05</v>
      </c>
      <c r="H137" t="str">
        <f t="shared" si="2"/>
        <v>2002|Store|Men</v>
      </c>
    </row>
    <row r="138" spans="1:8" x14ac:dyDescent="0.2">
      <c r="A138">
        <v>2002</v>
      </c>
      <c r="B138" t="s">
        <v>18</v>
      </c>
      <c r="C138" t="s">
        <v>14</v>
      </c>
      <c r="D138">
        <v>2559145</v>
      </c>
      <c r="E138">
        <v>87407127.909999996</v>
      </c>
      <c r="F138">
        <v>-42556622.82</v>
      </c>
      <c r="G138">
        <v>-48.69</v>
      </c>
      <c r="H138" t="str">
        <f t="shared" si="2"/>
        <v>2002|Store|Music</v>
      </c>
    </row>
    <row r="139" spans="1:8" x14ac:dyDescent="0.2">
      <c r="A139">
        <v>2002</v>
      </c>
      <c r="B139" t="s">
        <v>18</v>
      </c>
      <c r="C139" t="s">
        <v>15</v>
      </c>
      <c r="D139">
        <v>2630022</v>
      </c>
      <c r="E139">
        <v>89622394.719999999</v>
      </c>
      <c r="F139">
        <v>-43699708.43</v>
      </c>
      <c r="G139">
        <v>-48.76</v>
      </c>
      <c r="H139" t="str">
        <f t="shared" si="2"/>
        <v>2002|Store|Shoes</v>
      </c>
    </row>
    <row r="140" spans="1:8" x14ac:dyDescent="0.2">
      <c r="A140">
        <v>2002</v>
      </c>
      <c r="B140" t="s">
        <v>18</v>
      </c>
      <c r="C140" t="s">
        <v>16</v>
      </c>
      <c r="D140">
        <v>2589423</v>
      </c>
      <c r="E140">
        <v>88976970.799999997</v>
      </c>
      <c r="F140">
        <v>-42610437.579999998</v>
      </c>
      <c r="G140">
        <v>-47.89</v>
      </c>
      <c r="H140" t="str">
        <f t="shared" si="2"/>
        <v>2002|Store|Sports</v>
      </c>
    </row>
    <row r="141" spans="1:8" x14ac:dyDescent="0.2">
      <c r="A141">
        <v>2002</v>
      </c>
      <c r="B141" t="s">
        <v>18</v>
      </c>
      <c r="C141" t="s">
        <v>17</v>
      </c>
      <c r="D141">
        <v>2545689</v>
      </c>
      <c r="E141">
        <v>87699772.530000001</v>
      </c>
      <c r="F141">
        <v>-42116503.619999997</v>
      </c>
      <c r="G141">
        <v>-48.02</v>
      </c>
      <c r="H141" t="str">
        <f t="shared" si="2"/>
        <v>2002|Store|Women</v>
      </c>
    </row>
    <row r="142" spans="1:8" x14ac:dyDescent="0.2">
      <c r="A142">
        <v>2002</v>
      </c>
      <c r="B142" t="s">
        <v>19</v>
      </c>
      <c r="C142" t="s">
        <v>8</v>
      </c>
      <c r="D142">
        <v>748005</v>
      </c>
      <c r="E142">
        <v>33921033.380000003</v>
      </c>
      <c r="F142">
        <v>-3975684.34</v>
      </c>
      <c r="G142">
        <v>-11.72</v>
      </c>
      <c r="H142" t="str">
        <f t="shared" si="2"/>
        <v>2002|Web|Books</v>
      </c>
    </row>
    <row r="143" spans="1:8" x14ac:dyDescent="0.2">
      <c r="A143">
        <v>2002</v>
      </c>
      <c r="B143" t="s">
        <v>19</v>
      </c>
      <c r="C143" t="s">
        <v>9</v>
      </c>
      <c r="D143">
        <v>725527</v>
      </c>
      <c r="E143">
        <v>32833121.460000001</v>
      </c>
      <c r="F143">
        <v>-3554598.29</v>
      </c>
      <c r="G143">
        <v>-10.83</v>
      </c>
      <c r="H143" t="str">
        <f t="shared" si="2"/>
        <v>2002|Web|Children</v>
      </c>
    </row>
    <row r="144" spans="1:8" x14ac:dyDescent="0.2">
      <c r="A144">
        <v>2002</v>
      </c>
      <c r="B144" t="s">
        <v>19</v>
      </c>
      <c r="C144" t="s">
        <v>10</v>
      </c>
      <c r="D144">
        <v>739907</v>
      </c>
      <c r="E144">
        <v>33236179.440000001</v>
      </c>
      <c r="F144">
        <v>-3968061.7</v>
      </c>
      <c r="G144">
        <v>-11.94</v>
      </c>
      <c r="H144" t="str">
        <f t="shared" si="2"/>
        <v>2002|Web|Electronics</v>
      </c>
    </row>
    <row r="145" spans="1:8" x14ac:dyDescent="0.2">
      <c r="A145">
        <v>2002</v>
      </c>
      <c r="B145" t="s">
        <v>19</v>
      </c>
      <c r="C145" t="s">
        <v>11</v>
      </c>
      <c r="D145">
        <v>779271</v>
      </c>
      <c r="E145">
        <v>35405502.640000001</v>
      </c>
      <c r="F145">
        <v>-3955747.21</v>
      </c>
      <c r="G145">
        <v>-11.17</v>
      </c>
      <c r="H145" t="str">
        <f t="shared" si="2"/>
        <v>2002|Web|Home</v>
      </c>
    </row>
    <row r="146" spans="1:8" x14ac:dyDescent="0.2">
      <c r="A146">
        <v>2002</v>
      </c>
      <c r="B146" t="s">
        <v>19</v>
      </c>
      <c r="C146" t="s">
        <v>12</v>
      </c>
      <c r="D146">
        <v>688470</v>
      </c>
      <c r="E146">
        <v>32278179.239999998</v>
      </c>
      <c r="F146">
        <v>-2705937.28</v>
      </c>
      <c r="G146">
        <v>-8.3800000000000008</v>
      </c>
      <c r="H146" t="str">
        <f t="shared" si="2"/>
        <v>2002|Web|Jewelry</v>
      </c>
    </row>
    <row r="147" spans="1:8" x14ac:dyDescent="0.2">
      <c r="A147">
        <v>2002</v>
      </c>
      <c r="B147" t="s">
        <v>19</v>
      </c>
      <c r="C147" t="s">
        <v>13</v>
      </c>
      <c r="D147">
        <v>741222</v>
      </c>
      <c r="E147">
        <v>33706137.420000002</v>
      </c>
      <c r="F147">
        <v>-3712581.41</v>
      </c>
      <c r="G147">
        <v>-11.01</v>
      </c>
      <c r="H147" t="str">
        <f t="shared" si="2"/>
        <v>2002|Web|Men</v>
      </c>
    </row>
    <row r="148" spans="1:8" x14ac:dyDescent="0.2">
      <c r="A148">
        <v>2002</v>
      </c>
      <c r="B148" t="s">
        <v>19</v>
      </c>
      <c r="C148" t="s">
        <v>14</v>
      </c>
      <c r="D148">
        <v>697657</v>
      </c>
      <c r="E148">
        <v>31619104.739999998</v>
      </c>
      <c r="F148">
        <v>-3283687.99</v>
      </c>
      <c r="G148">
        <v>-10.39</v>
      </c>
      <c r="H148" t="str">
        <f t="shared" si="2"/>
        <v>2002|Web|Music</v>
      </c>
    </row>
    <row r="149" spans="1:8" x14ac:dyDescent="0.2">
      <c r="A149">
        <v>2002</v>
      </c>
      <c r="B149" t="s">
        <v>19</v>
      </c>
      <c r="C149" t="s">
        <v>15</v>
      </c>
      <c r="D149">
        <v>716733</v>
      </c>
      <c r="E149">
        <v>32334754.100000001</v>
      </c>
      <c r="F149">
        <v>-3633105.56</v>
      </c>
      <c r="G149">
        <v>-11.24</v>
      </c>
      <c r="H149" t="str">
        <f t="shared" si="2"/>
        <v>2002|Web|Shoes</v>
      </c>
    </row>
    <row r="150" spans="1:8" x14ac:dyDescent="0.2">
      <c r="A150">
        <v>2002</v>
      </c>
      <c r="B150" t="s">
        <v>19</v>
      </c>
      <c r="C150" t="s">
        <v>16</v>
      </c>
      <c r="D150">
        <v>707692</v>
      </c>
      <c r="E150">
        <v>32078859.620000001</v>
      </c>
      <c r="F150">
        <v>-3533121.96</v>
      </c>
      <c r="G150">
        <v>-11.01</v>
      </c>
      <c r="H150" t="str">
        <f t="shared" si="2"/>
        <v>2002|Web|Sports</v>
      </c>
    </row>
    <row r="151" spans="1:8" x14ac:dyDescent="0.2">
      <c r="A151">
        <v>2002</v>
      </c>
      <c r="B151" t="s">
        <v>19</v>
      </c>
      <c r="C151" t="s">
        <v>17</v>
      </c>
      <c r="D151">
        <v>694713</v>
      </c>
      <c r="E151">
        <v>31585970.77</v>
      </c>
      <c r="F151">
        <v>-3534351.07</v>
      </c>
      <c r="G151">
        <v>-11.19</v>
      </c>
      <c r="H151" t="str">
        <f t="shared" si="2"/>
        <v>2002|Web|Women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Omnichannel_Retail_Sales_Analys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Swikriti Pokhrel</dc:creator>
  <cp:lastModifiedBy>Swikriti Pokhrel</cp:lastModifiedBy>
  <dcterms:created xsi:type="dcterms:W3CDTF">2026-09-28T03:00:40Z</dcterms:created>
  <dcterms:modified xsi:type="dcterms:W3CDTF">2026-09-28T03:00:40Z</dcterms:modified>
</cp:coreProperties>
</file>